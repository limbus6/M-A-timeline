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62" documentId="13_ncr:1_{CDBAC04F-3ABA-4E2A-BE96-26747AA90B94}" xr6:coauthVersionLast="47" xr6:coauthVersionMax="47" xr10:uidLastSave="{948AE9C6-2D55-4408-8994-7F6061F55BAF}"/>
  <bookViews>
    <workbookView xWindow="-28910" yWindow="30" windowWidth="29020" windowHeight="15700" xr2:uid="{6B856535-9CA1-4EC6-8AE7-0813AA390F50}"/>
  </bookViews>
  <sheets>
    <sheet name="Timeline (Project Galaxy)" sheetId="1" r:id="rId1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'Timeline (Project Galaxy)'!$B$1:$CH$42</definedName>
    <definedName name="_xlnm.Print_Titles" localSheetId="0">'Timeline (Project Galaxy)'!$A:$B,'Timeline (Project Galaxy)'!$1:$4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4" i="1"/>
  <c r="F4" i="1"/>
  <c r="G4" i="1" s="1"/>
  <c r="H4" i="1" s="1"/>
  <c r="I4" i="1" s="1"/>
  <c r="J4" i="1" s="1"/>
  <c r="K4" i="1" s="1"/>
  <c r="L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</calcChain>
</file>

<file path=xl/sharedStrings.xml><?xml version="1.0" encoding="utf-8"?>
<sst xmlns="http://schemas.openxmlformats.org/spreadsheetml/2006/main" count="77" uniqueCount="45">
  <si>
    <t>Projeto</t>
  </si>
  <si>
    <t>Tarefa</t>
  </si>
  <si>
    <t>Responsabilidade</t>
  </si>
  <si>
    <t>Preparação</t>
  </si>
  <si>
    <t>Envio de pedido de informação preliminar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</si>
  <si>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</si>
  <si>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</si>
  <si>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</si>
  <si>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do Plano de Negócios e Trading Updates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</si>
  <si>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</si>
  <si>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</si>
  <si>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</si>
  <si>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</si>
  <si>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▲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</si>
  <si>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</si>
  <si>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</si>
  <si>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</si>
  <si>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</si>
  <si>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</si>
  <si>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Envio de Process Letter II</t>
  </si>
  <si>
    <t>Investidores</t>
  </si>
  <si>
    <t>Legal</t>
  </si>
  <si>
    <t>Receção e negociação de Ofertas Vinculativas (BOs)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</si>
  <si>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</si>
  <si>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</si>
  <si>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</si>
  <si>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</si>
  <si>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</si>
  <si>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</si>
  <si>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Discussão da Estrutura do Memorando de Informação</t>
  </si>
  <si>
    <t>c</t>
  </si>
  <si>
    <t>Recolha, análise e Q&amp;A da documentação enviada (VDD)</t>
  </si>
  <si>
    <t>CW</t>
  </si>
  <si>
    <t>CW / Investidores</t>
  </si>
  <si>
    <t>Due Diligence confirmatória</t>
  </si>
  <si>
    <t>Preparação de minuta de SPA</t>
  </si>
  <si>
    <t>Partilha de minuta de SPA e termos legais para a transação</t>
  </si>
  <si>
    <t>Galaxy</t>
  </si>
  <si>
    <t>CW / DS</t>
  </si>
  <si>
    <t>Due Diligence - Fase 2</t>
  </si>
  <si>
    <t>Criação de holding e reorganização societária</t>
  </si>
  <si>
    <t>CW / DS / Legal</t>
  </si>
  <si>
    <t>CW / DS / VDD</t>
  </si>
  <si>
    <t>Solicitação de cotações para VDD Financeira, Fiscal, Legal e Comercial</t>
  </si>
  <si>
    <t>Negociação e adjudicação de VDD Financeira, Fiscal, Legal e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</si>
</sst>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6">
    <font>
      <sz val="11"/>
      <name val="Gill Sans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4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i/>
      <sz val="10"/>
      <color rgb="FF272F6A"/>
      <name val="Arial"/>
      <family val="2"/>
    </font>
    <font>
      <b/>
      <i/>
      <sz val="10"/>
      <color rgb="FFFFC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7" fillId="0" borderId="7" xfId="1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0" borderId="0" xfId="1" applyFont="1" applyAlignment="1" applyProtection="1">
      <alignment vertical="center"/>
      <protection locked="0"/>
    </xf>
    <xf numFmtId="0" fontId="10" fillId="2" borderId="1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164" fontId="9" fillId="2" borderId="12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1" fillId="0" borderId="14" xfId="1" applyFont="1" applyBorder="1" applyAlignment="1">
      <alignment vertical="center"/>
    </xf>
    <xf numFmtId="0" fontId="11" fillId="0" borderId="15" xfId="1" applyFont="1" applyBorder="1" applyAlignment="1">
      <alignment vertical="center"/>
    </xf>
    <xf numFmtId="0" fontId="7" fillId="0" borderId="16" xfId="1" applyFont="1" applyBorder="1" applyAlignment="1" applyProtection="1">
      <alignment vertical="center"/>
      <protection locked="0"/>
    </xf>
    <xf numFmtId="0" fontId="12" fillId="3" borderId="17" xfId="1" applyFont="1" applyFill="1" applyBorder="1" applyAlignment="1">
      <alignment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vertical="center"/>
    </xf>
    <xf numFmtId="0" fontId="13" fillId="6" borderId="12" xfId="1" applyFont="1" applyFill="1" applyBorder="1" applyAlignment="1">
      <alignment vertical="center"/>
    </xf>
    <xf numFmtId="0" fontId="13" fillId="6" borderId="19" xfId="1" applyFont="1" applyFill="1" applyBorder="1" applyAlignment="1">
      <alignment vertical="center"/>
    </xf>
    <xf numFmtId="0" fontId="13" fillId="7" borderId="12" xfId="1" applyFont="1" applyFill="1" applyBorder="1" applyAlignment="1">
      <alignment vertical="center"/>
    </xf>
    <xf numFmtId="0" fontId="14" fillId="6" borderId="12" xfId="1" applyFont="1" applyFill="1" applyBorder="1" applyAlignment="1">
      <alignment vertical="center"/>
    </xf>
    <xf numFmtId="0" fontId="7" fillId="0" borderId="7" xfId="1" applyFont="1" applyBorder="1" applyAlignment="1">
      <alignment horizontal="left" vertical="center" wrapText="1" indent="1"/>
    </xf>
    <xf numFmtId="0" fontId="7" fillId="0" borderId="0" xfId="1" applyFont="1" applyAlignment="1">
      <alignment horizontal="center" vertical="center" wrapText="1"/>
    </xf>
    <xf numFmtId="0" fontId="13" fillId="4" borderId="12" xfId="1" applyFont="1" applyFill="1" applyBorder="1" applyAlignment="1">
      <alignment vertical="center"/>
    </xf>
    <xf numFmtId="0" fontId="7" fillId="3" borderId="0" xfId="1" applyFont="1" applyFill="1" applyAlignment="1">
      <alignment horizontal="center" vertical="center" wrapText="1"/>
    </xf>
    <xf numFmtId="0" fontId="7" fillId="3" borderId="7" xfId="1" applyFont="1" applyFill="1" applyBorder="1" applyAlignment="1">
      <alignment horizontal="left" vertical="center" wrapText="1" indent="1"/>
    </xf>
    <xf numFmtId="0" fontId="12" fillId="3" borderId="7" xfId="1" applyFont="1" applyFill="1" applyBorder="1" applyAlignment="1">
      <alignment horizontal="left" vertical="center" wrapText="1"/>
    </xf>
    <xf numFmtId="0" fontId="13" fillId="5" borderId="12" xfId="1" applyFont="1" applyFill="1" applyBorder="1" applyAlignment="1">
      <alignment vertical="center"/>
    </xf>
    <xf numFmtId="0" fontId="15" fillId="4" borderId="12" xfId="1" applyFont="1" applyFill="1" applyBorder="1" applyAlignment="1">
      <alignment horizontal="center" vertical="center"/>
    </xf>
    <xf numFmtId="0" fontId="13" fillId="6" borderId="13" xfId="1" applyFont="1" applyFill="1" applyBorder="1" applyAlignment="1">
      <alignment vertical="center"/>
    </xf>
    <xf numFmtId="0" fontId="7" fillId="3" borderId="20" xfId="1" applyFont="1" applyFill="1" applyBorder="1" applyAlignment="1">
      <alignment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13" fillId="6" borderId="22" xfId="1" applyFont="1" applyFill="1" applyBorder="1" applyAlignment="1">
      <alignment vertical="center"/>
    </xf>
    <xf numFmtId="0" fontId="13" fillId="7" borderId="22" xfId="1" applyFont="1" applyFill="1" applyBorder="1" applyAlignment="1">
      <alignment vertical="center"/>
    </xf>
    <xf numFmtId="0" fontId="13" fillId="7" borderId="19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164" fontId="9" fillId="2" borderId="10" xfId="1" applyNumberFormat="1" applyFont="1" applyFill="1" applyBorder="1" applyAlignment="1">
      <alignment vertical="center"/>
    </xf>
    <xf numFmtId="16" fontId="5" fillId="4" borderId="8" xfId="1" applyNumberFormat="1" applyFont="1" applyFill="1" applyBorder="1" applyAlignment="1">
      <alignment vertical="center"/>
    </xf>
    <xf numFmtId="16" fontId="5" fillId="4" borderId="9" xfId="1" applyNumberFormat="1" applyFont="1" applyFill="1" applyBorder="1" applyAlignment="1">
      <alignment vertical="center"/>
    </xf>
    <xf numFmtId="0" fontId="13" fillId="5" borderId="23" xfId="1" applyFont="1" applyFill="1" applyBorder="1" applyAlignment="1">
      <alignment vertical="center"/>
    </xf>
    <xf numFmtId="0" fontId="13" fillId="6" borderId="24" xfId="1" applyFont="1" applyFill="1" applyBorder="1" applyAlignment="1">
      <alignment vertical="center"/>
    </xf>
    <xf numFmtId="0" fontId="14" fillId="6" borderId="25" xfId="1" applyFont="1" applyFill="1" applyBorder="1" applyAlignment="1">
      <alignment vertical="center"/>
    </xf>
    <xf numFmtId="0" fontId="13" fillId="6" borderId="25" xfId="1" applyFont="1" applyFill="1" applyBorder="1" applyAlignment="1">
      <alignment vertical="center"/>
    </xf>
    <xf numFmtId="0" fontId="13" fillId="5" borderId="25" xfId="1" applyFont="1" applyFill="1" applyBorder="1" applyAlignment="1">
      <alignment vertical="center"/>
    </xf>
    <xf numFmtId="0" fontId="13" fillId="6" borderId="26" xfId="1" applyFont="1" applyFill="1" applyBorder="1" applyAlignment="1">
      <alignment vertical="center"/>
    </xf>
    <xf numFmtId="0" fontId="13" fillId="6" borderId="27" xfId="1" applyFont="1" applyFill="1" applyBorder="1" applyAlignment="1">
      <alignment vertical="center"/>
    </xf>
    <xf numFmtId="0" fontId="15" fillId="4" borderId="25" xfId="1" applyFont="1" applyFill="1" applyBorder="1" applyAlignment="1">
      <alignment horizontal="center" vertical="center"/>
    </xf>
    <xf numFmtId="0" fontId="13" fillId="4" borderId="25" xfId="1" applyFont="1" applyFill="1" applyBorder="1" applyAlignment="1">
      <alignment vertical="center"/>
    </xf>
    <xf numFmtId="0" fontId="13" fillId="8" borderId="19" xfId="1" applyFont="1" applyFill="1" applyBorder="1" applyAlignment="1">
      <alignment vertical="center"/>
    </xf>
    <xf numFmtId="0" fontId="13" fillId="9" borderId="19" xfId="1" applyFont="1" applyFill="1" applyBorder="1" applyAlignment="1">
      <alignment vertical="center"/>
    </xf>
    <xf numFmtId="0" fontId="13" fillId="8" borderId="24" xfId="1" applyFont="1" applyFill="1" applyBorder="1" applyAlignment="1">
      <alignment vertical="center"/>
    </xf>
    <xf numFmtId="0" fontId="15" fillId="8" borderId="12" xfId="1" applyFont="1" applyFill="1" applyBorder="1" applyAlignment="1">
      <alignment horizontal="center" vertical="center"/>
    </xf>
    <xf numFmtId="17" fontId="5" fillId="4" borderId="4" xfId="1" applyNumberFormat="1" applyFont="1" applyFill="1" applyBorder="1" applyAlignment="1">
      <alignment horizontal="center" vertical="center"/>
    </xf>
    <xf numFmtId="17" fontId="5" fillId="4" borderId="5" xfId="1" applyNumberFormat="1" applyFont="1" applyFill="1" applyBorder="1" applyAlignment="1">
      <alignment horizontal="center" vertical="center"/>
    </xf>
    <xf numFmtId="17" fontId="5" fillId="4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85-855E-47A5-A946-0A82C3F5D82A}">
  <sheetPr>
    <pageSetUpPr fitToPage="1"/>
  </sheetPr>
  <dimension ref="A1:CH43"/>
  <sheetViews>
    <sheetView showGridLines="0" tabSelected="1" view="pageBreakPreview" zoomScale="85" zoomScaleNormal="70" zoomScaleSheetLayoutView="85" zoomScalePageLayoutView="55" workbookViewId="0">
      <selection activeCell="I4" sqref="I4"/>
    </sheetView>
  </sheetViews>
  <sheetFormatPr defaultColWidth="9" defaultRowHeight="14"/>
  <cols>
    <col min="1" max="1" width="2.4140625" style="1" customWidth="1"/>
    <col min="2" max="2" width="58.08203125" style="1" customWidth="1"/>
    <col min="3" max="3" width="17.1640625" style="2" customWidth="1"/>
    <col min="4" max="4" width="1.6640625" style="2" customWidth="1"/>
    <col min="5" max="34" width="3.58203125" style="1" customWidth="1"/>
    <col min="35" max="35" width="3.5" style="1" customWidth="1"/>
    <col min="36" max="37" width="3.58203125" style="1" customWidth="1"/>
    <col min="38" max="38" width="2.83203125" style="1" customWidth="1"/>
    <col min="39" max="39" width="3.1640625" style="1" customWidth="1"/>
    <col min="40" max="40" width="3.25" style="1" customWidth="1"/>
    <col min="41" max="86" width="3.58203125" style="1" customWidth="1"/>
    <col min="87" max="16384" width="9" style="3"/>
  </cols>
  <sheetData>
    <row r="1" spans="1:86" ht="14.5" thickBot="1"/>
    <row r="2" spans="1:86" s="8" customFormat="1" ht="18.5" thickBot="1">
      <c r="A2" s="4"/>
      <c r="B2" s="5" t="s">
        <v>0</v>
      </c>
      <c r="C2" s="6" t="s">
        <v>37</v>
      </c>
      <c r="D2" s="7"/>
      <c r="E2" s="61">
        <v>45901</v>
      </c>
      <c r="F2" s="62"/>
      <c r="G2" s="62"/>
      <c r="H2" s="63"/>
      <c r="I2" s="61">
        <v>45931</v>
      </c>
      <c r="J2" s="62"/>
      <c r="K2" s="62"/>
      <c r="L2" s="62"/>
      <c r="M2" s="63"/>
      <c r="N2" s="61">
        <v>45962</v>
      </c>
      <c r="O2" s="62"/>
      <c r="P2" s="62"/>
      <c r="Q2" s="63"/>
      <c r="R2" s="61">
        <v>45992</v>
      </c>
      <c r="S2" s="62"/>
      <c r="T2" s="62"/>
      <c r="U2" s="63"/>
      <c r="V2" s="61">
        <v>46023</v>
      </c>
      <c r="W2" s="62"/>
      <c r="X2" s="62"/>
      <c r="Y2" s="62"/>
      <c r="Z2" s="63"/>
      <c r="AA2" s="61">
        <v>46054</v>
      </c>
      <c r="AB2" s="62"/>
      <c r="AC2" s="62"/>
      <c r="AD2" s="63"/>
      <c r="AE2" s="61">
        <v>46082</v>
      </c>
      <c r="AF2" s="62"/>
      <c r="AG2" s="62"/>
      <c r="AH2" s="63"/>
      <c r="AI2" s="61">
        <v>46113</v>
      </c>
      <c r="AJ2" s="62"/>
      <c r="AK2" s="62"/>
      <c r="AL2" s="63"/>
      <c r="AM2" s="61">
        <v>46143</v>
      </c>
      <c r="AN2" s="62"/>
      <c r="AO2" s="62"/>
      <c r="AP2" s="62"/>
      <c r="AQ2" s="63"/>
      <c r="AR2" s="61">
        <v>46174</v>
      </c>
      <c r="AS2" s="62"/>
      <c r="AT2" s="62"/>
      <c r="AU2" s="63"/>
      <c r="AV2" s="61">
        <v>46204</v>
      </c>
      <c r="AW2" s="62"/>
      <c r="AX2" s="62"/>
      <c r="AY2" s="62"/>
      <c r="AZ2" s="63"/>
      <c r="BA2" s="61">
        <v>46235</v>
      </c>
      <c r="BB2" s="62"/>
      <c r="BC2" s="62"/>
      <c r="BD2" s="63"/>
      <c r="BE2" s="61">
        <v>46266</v>
      </c>
      <c r="BF2" s="62"/>
      <c r="BG2" s="62"/>
      <c r="BH2" s="63"/>
      <c r="BI2" s="61">
        <v>46296</v>
      </c>
      <c r="BJ2" s="62"/>
      <c r="BK2" s="62"/>
      <c r="BL2" s="62"/>
      <c r="BM2" s="63"/>
      <c r="BN2" s="61">
        <v>46327</v>
      </c>
      <c r="BO2" s="62"/>
      <c r="BP2" s="62"/>
      <c r="BQ2" s="63"/>
      <c r="BR2" s="61">
        <v>46357</v>
      </c>
      <c r="BS2" s="62"/>
      <c r="BT2" s="62"/>
      <c r="BU2" s="63"/>
      <c r="BV2" s="61">
        <v>46388</v>
      </c>
      <c r="BW2" s="62"/>
      <c r="BX2" s="62"/>
      <c r="BY2" s="62"/>
      <c r="BZ2" s="63"/>
      <c r="CA2" s="61">
        <v>46419</v>
      </c>
      <c r="CB2" s="62"/>
      <c r="CC2" s="62"/>
      <c r="CD2" s="63"/>
      <c r="CE2" s="61">
        <v>46447</v>
      </c>
      <c r="CF2" s="62"/>
      <c r="CG2" s="62"/>
      <c r="CH2" s="63"/>
    </row>
    <row r="3" spans="1:86" s="12" customFormat="1" ht="14.25" customHeight="1">
      <c r="A3" s="9"/>
      <c r="B3" s="10"/>
      <c r="C3" s="11"/>
      <c r="D3" s="11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</row>
    <row r="4" spans="1:86" s="12" customFormat="1" ht="13">
      <c r="A4" s="9"/>
      <c r="B4" s="13" t="s">
        <v>1</v>
      </c>
      <c r="C4" s="14" t="s">
        <v>2</v>
      </c>
      <c r="D4" s="14"/>
      <c r="E4" s="45">
        <v>45905</v>
      </c>
      <c r="F4" s="15">
        <f t="shared" ref="F4:I4" si="0">+E4+7</f>
        <v>45912</v>
      </c>
      <c r="G4" s="15">
        <f t="shared" si="0"/>
        <v>45919</v>
      </c>
      <c r="H4" s="15">
        <f t="shared" si="0"/>
        <v>45926</v>
      </c>
      <c r="I4" s="15">
        <f t="shared" si="0"/>
        <v>45933</v>
      </c>
      <c r="J4" s="15">
        <f t="shared" ref="J4:M4" si="1">I4+7</f>
        <v>45940</v>
      </c>
      <c r="K4" s="15">
        <f t="shared" si="1"/>
        <v>45947</v>
      </c>
      <c r="L4" s="15">
        <f t="shared" si="1"/>
        <v>45954</v>
      </c>
      <c r="M4" s="15">
        <f>L4+7</f>
        <v>45961</v>
      </c>
      <c r="N4" s="15">
        <f>+M4+7</f>
        <v>45968</v>
      </c>
      <c r="O4" s="15">
        <f t="shared" ref="O4:R4" si="2">+N4+7</f>
        <v>45975</v>
      </c>
      <c r="P4" s="15">
        <f t="shared" si="2"/>
        <v>45982</v>
      </c>
      <c r="Q4" s="15">
        <f t="shared" si="2"/>
        <v>45989</v>
      </c>
      <c r="R4" s="15">
        <f t="shared" si="2"/>
        <v>45996</v>
      </c>
      <c r="S4" s="15">
        <f>+R4+7</f>
        <v>46003</v>
      </c>
      <c r="T4" s="15">
        <f t="shared" ref="T4:V4" si="3">S4+7</f>
        <v>46010</v>
      </c>
      <c r="U4" s="15">
        <f t="shared" si="3"/>
        <v>46017</v>
      </c>
      <c r="V4" s="15">
        <f t="shared" si="3"/>
        <v>46024</v>
      </c>
      <c r="W4" s="15">
        <f>+V4+7</f>
        <v>46031</v>
      </c>
      <c r="X4" s="15">
        <f t="shared" ref="X4:AA4" si="4">+W4+7</f>
        <v>46038</v>
      </c>
      <c r="Y4" s="15">
        <f t="shared" si="4"/>
        <v>46045</v>
      </c>
      <c r="Z4" s="15">
        <f t="shared" si="4"/>
        <v>46052</v>
      </c>
      <c r="AA4" s="15">
        <f t="shared" si="4"/>
        <v>46059</v>
      </c>
      <c r="AB4" s="15">
        <f t="shared" ref="AB4:AI4" si="5">AA4+7</f>
        <v>46066</v>
      </c>
      <c r="AC4" s="15">
        <f t="shared" si="5"/>
        <v>46073</v>
      </c>
      <c r="AD4" s="15">
        <f t="shared" si="5"/>
        <v>46080</v>
      </c>
      <c r="AE4" s="15">
        <f t="shared" si="5"/>
        <v>46087</v>
      </c>
      <c r="AF4" s="15">
        <f t="shared" si="5"/>
        <v>46094</v>
      </c>
      <c r="AG4" s="15">
        <f t="shared" si="5"/>
        <v>46101</v>
      </c>
      <c r="AH4" s="15">
        <f t="shared" si="5"/>
        <v>46108</v>
      </c>
      <c r="AI4" s="15">
        <f t="shared" si="5"/>
        <v>46115</v>
      </c>
      <c r="AJ4" s="15">
        <f>+AI4+7</f>
        <v>46122</v>
      </c>
      <c r="AK4" s="15">
        <f t="shared" ref="AK4:AN4" si="6">+AJ4+7</f>
        <v>46129</v>
      </c>
      <c r="AL4" s="15">
        <f t="shared" si="6"/>
        <v>46136</v>
      </c>
      <c r="AM4" s="15">
        <f t="shared" si="6"/>
        <v>46143</v>
      </c>
      <c r="AN4" s="16">
        <f t="shared" si="6"/>
        <v>46150</v>
      </c>
      <c r="AO4" s="15">
        <f>+AN4+7</f>
        <v>46157</v>
      </c>
      <c r="AP4" s="15">
        <f t="shared" ref="AP4:AR4" si="7">AO4+7</f>
        <v>46164</v>
      </c>
      <c r="AQ4" s="15">
        <f t="shared" si="7"/>
        <v>46171</v>
      </c>
      <c r="AR4" s="15">
        <f t="shared" si="7"/>
        <v>46178</v>
      </c>
      <c r="AS4" s="15">
        <f>+AR4+7</f>
        <v>46185</v>
      </c>
      <c r="AT4" s="15">
        <f t="shared" ref="AT4" si="8">+AS4+7</f>
        <v>46192</v>
      </c>
      <c r="AU4" s="15">
        <f t="shared" ref="AU4:BD4" si="9">+AT4+7</f>
        <v>46199</v>
      </c>
      <c r="AV4" s="15">
        <f t="shared" si="9"/>
        <v>46206</v>
      </c>
      <c r="AW4" s="15">
        <f t="shared" si="9"/>
        <v>46213</v>
      </c>
      <c r="AX4" s="15">
        <f t="shared" si="9"/>
        <v>46220</v>
      </c>
      <c r="AY4" s="15">
        <f t="shared" si="9"/>
        <v>46227</v>
      </c>
      <c r="AZ4" s="15">
        <f t="shared" si="9"/>
        <v>46234</v>
      </c>
      <c r="BA4" s="15">
        <f t="shared" si="9"/>
        <v>46241</v>
      </c>
      <c r="BB4" s="15">
        <f t="shared" si="9"/>
        <v>46248</v>
      </c>
      <c r="BC4" s="15">
        <f t="shared" si="9"/>
        <v>46255</v>
      </c>
      <c r="BD4" s="15">
        <f t="shared" si="9"/>
        <v>46262</v>
      </c>
      <c r="BE4" s="15">
        <f t="shared" ref="BE4" si="10">+BD4+7</f>
        <v>46269</v>
      </c>
      <c r="BF4" s="15">
        <f t="shared" ref="BF4:CH4" si="11">+BE4+7</f>
        <v>46276</v>
      </c>
      <c r="BG4" s="15">
        <f t="shared" si="11"/>
        <v>46283</v>
      </c>
      <c r="BH4" s="15">
        <f t="shared" si="11"/>
        <v>46290</v>
      </c>
      <c r="BI4" s="15">
        <f t="shared" si="11"/>
        <v>46297</v>
      </c>
      <c r="BJ4" s="15">
        <f t="shared" si="11"/>
        <v>46304</v>
      </c>
      <c r="BK4" s="15">
        <f t="shared" si="11"/>
        <v>46311</v>
      </c>
      <c r="BL4" s="15">
        <f t="shared" si="11"/>
        <v>46318</v>
      </c>
      <c r="BM4" s="15">
        <f t="shared" si="11"/>
        <v>46325</v>
      </c>
      <c r="BN4" s="15">
        <f t="shared" si="11"/>
        <v>46332</v>
      </c>
      <c r="BO4" s="15">
        <f t="shared" si="11"/>
        <v>46339</v>
      </c>
      <c r="BP4" s="15">
        <f t="shared" si="11"/>
        <v>46346</v>
      </c>
      <c r="BQ4" s="15">
        <f t="shared" si="11"/>
        <v>46353</v>
      </c>
      <c r="BR4" s="15">
        <f t="shared" si="11"/>
        <v>46360</v>
      </c>
      <c r="BS4" s="15">
        <f t="shared" si="11"/>
        <v>46367</v>
      </c>
      <c r="BT4" s="15">
        <f t="shared" si="11"/>
        <v>46374</v>
      </c>
      <c r="BU4" s="15">
        <f t="shared" si="11"/>
        <v>46381</v>
      </c>
      <c r="BV4" s="15">
        <f t="shared" si="11"/>
        <v>46388</v>
      </c>
      <c r="BW4" s="15">
        <f t="shared" si="11"/>
        <v>46395</v>
      </c>
      <c r="BX4" s="15">
        <f t="shared" si="11"/>
        <v>46402</v>
      </c>
      <c r="BY4" s="15">
        <f t="shared" si="11"/>
        <v>46409</v>
      </c>
      <c r="BZ4" s="15">
        <f t="shared" si="11"/>
        <v>46416</v>
      </c>
      <c r="CA4" s="15">
        <f t="shared" si="11"/>
        <v>46423</v>
      </c>
      <c r="CB4" s="15">
        <f t="shared" si="11"/>
        <v>46430</v>
      </c>
      <c r="CC4" s="15">
        <f t="shared" si="11"/>
        <v>46437</v>
      </c>
      <c r="CD4" s="15">
        <f t="shared" si="11"/>
        <v>46444</v>
      </c>
      <c r="CE4" s="15">
        <f t="shared" si="11"/>
        <v>46451</v>
      </c>
      <c r="CF4" s="15">
        <f t="shared" si="11"/>
        <v>46458</v>
      </c>
      <c r="CG4" s="15">
        <f t="shared" si="11"/>
        <v>46465</v>
      </c>
      <c r="CH4" s="15">
        <f t="shared" si="11"/>
        <v>46472</v>
      </c>
    </row>
    <row r="5" spans="1:86" s="22" customFormat="1" ht="13.5" customHeight="1" thickBot="1">
      <c r="A5" s="9"/>
      <c r="B5" s="17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1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</row>
    <row r="6" spans="1:86" s="12" customFormat="1" ht="13">
      <c r="A6" s="9"/>
      <c r="B6" s="23" t="s">
        <v>3</v>
      </c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48"/>
    </row>
    <row r="7" spans="1:86" s="12" customFormat="1" ht="13">
      <c r="B7" s="30" t="s">
        <v>40</v>
      </c>
      <c r="C7" s="31" t="s">
        <v>41</v>
      </c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7" t="s">
        <v>13</v>
      </c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60" t="s">
        <v>13</v>
      </c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9"/>
    </row>
    <row r="8" spans="1:86" s="12" customFormat="1" ht="13">
      <c r="B8" s="30" t="s">
        <v>4</v>
      </c>
      <c r="C8" s="31" t="s">
        <v>32</v>
      </c>
      <c r="D8" s="31"/>
      <c r="E8" s="32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8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6"/>
      <c r="AM8" s="26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8"/>
      <c r="BB8" s="28"/>
      <c r="BC8" s="28"/>
      <c r="BD8" s="28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8"/>
      <c r="BU8" s="28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49"/>
    </row>
    <row r="9" spans="1:86" s="12" customFormat="1" ht="13">
      <c r="B9" s="30" t="s">
        <v>5</v>
      </c>
      <c r="C9" s="31" t="s">
        <v>38</v>
      </c>
      <c r="D9" s="31"/>
      <c r="E9" s="27"/>
      <c r="F9" s="32"/>
      <c r="G9" s="32"/>
      <c r="H9" s="32"/>
      <c r="I9" s="32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  <c r="U9" s="28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6"/>
      <c r="AM9" s="26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8"/>
      <c r="BB9" s="28"/>
      <c r="BC9" s="28"/>
      <c r="BD9" s="28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8"/>
      <c r="BU9" s="28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49"/>
    </row>
    <row r="10" spans="1:86" s="12" customFormat="1" ht="14" customHeight="1">
      <c r="A10" s="9"/>
      <c r="B10" s="30" t="s">
        <v>43</v>
      </c>
      <c r="C10" s="31" t="s">
        <v>32</v>
      </c>
      <c r="D10" s="31"/>
      <c r="E10" s="26"/>
      <c r="F10" s="26"/>
      <c r="G10" s="26"/>
      <c r="H10" s="26"/>
      <c r="I10" s="32"/>
      <c r="J10" s="26"/>
      <c r="K10" s="26"/>
      <c r="L10" s="26"/>
      <c r="M10" s="26"/>
      <c r="N10" s="26"/>
      <c r="O10" s="27"/>
      <c r="P10" s="27"/>
      <c r="Q10" s="27"/>
      <c r="R10" s="27"/>
      <c r="S10" s="27"/>
      <c r="T10" s="28"/>
      <c r="U10" s="28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8"/>
      <c r="BB10" s="28"/>
      <c r="BC10" s="28"/>
      <c r="BD10" s="28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8"/>
      <c r="BU10" s="28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51"/>
    </row>
    <row r="11" spans="1:86" s="12" customFormat="1" ht="14" customHeight="1">
      <c r="A11" s="9"/>
      <c r="B11" s="30" t="s">
        <v>44</v>
      </c>
      <c r="C11" s="31" t="s">
        <v>38</v>
      </c>
      <c r="D11" s="31"/>
      <c r="E11" s="26"/>
      <c r="F11" s="26"/>
      <c r="G11" s="26"/>
      <c r="H11" s="26"/>
      <c r="I11" s="32"/>
      <c r="J11" s="32"/>
      <c r="K11" s="26"/>
      <c r="L11" s="26"/>
      <c r="M11" s="26"/>
      <c r="N11" s="26"/>
      <c r="O11" s="26"/>
      <c r="P11" s="27"/>
      <c r="Q11" s="27"/>
      <c r="R11" s="27"/>
      <c r="S11" s="27"/>
      <c r="T11" s="28"/>
      <c r="U11" s="28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  <c r="BB11" s="28"/>
      <c r="BC11" s="28"/>
      <c r="BD11" s="28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8"/>
      <c r="BU11" s="28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51"/>
    </row>
    <row r="12" spans="1:86" s="12" customFormat="1" ht="14" customHeight="1">
      <c r="A12" s="9"/>
      <c r="B12" s="30" t="s">
        <v>31</v>
      </c>
      <c r="C12" s="31" t="s">
        <v>42</v>
      </c>
      <c r="D12" s="31"/>
      <c r="E12" s="26"/>
      <c r="F12" s="26"/>
      <c r="G12" s="26"/>
      <c r="H12" s="26"/>
      <c r="I12" s="26"/>
      <c r="J12" s="29"/>
      <c r="K12" s="29"/>
      <c r="L12" s="29"/>
      <c r="M12" s="29"/>
      <c r="N12" s="37" t="s">
        <v>13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7"/>
      <c r="AW12" s="26"/>
      <c r="AX12" s="26"/>
      <c r="AY12" s="26"/>
      <c r="AZ12" s="26"/>
      <c r="BA12" s="28"/>
      <c r="BB12" s="28"/>
      <c r="BC12" s="28"/>
      <c r="BD12" s="28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8"/>
      <c r="BU12" s="28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51"/>
    </row>
    <row r="13" spans="1:86" s="12" customFormat="1" ht="13">
      <c r="A13" s="9"/>
      <c r="B13" s="30" t="s">
        <v>6</v>
      </c>
      <c r="C13" s="31" t="s">
        <v>32</v>
      </c>
      <c r="D13" s="31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7"/>
      <c r="P13" s="27"/>
      <c r="Q13" s="27"/>
      <c r="R13" s="27"/>
      <c r="S13" s="27"/>
      <c r="T13" s="28"/>
      <c r="U13" s="28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6"/>
      <c r="AM13" s="26"/>
      <c r="AN13" s="29"/>
      <c r="AO13" s="29"/>
      <c r="AP13" s="29"/>
      <c r="AQ13" s="29"/>
      <c r="AR13" s="29"/>
      <c r="AS13" s="32"/>
      <c r="AT13" s="32"/>
      <c r="AU13" s="32"/>
      <c r="AV13" s="27"/>
      <c r="AW13" s="29"/>
      <c r="AX13" s="29"/>
      <c r="AY13" s="26"/>
      <c r="AZ13" s="26"/>
      <c r="BA13" s="28"/>
      <c r="BB13" s="28"/>
      <c r="BC13" s="28"/>
      <c r="BD13" s="28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8"/>
      <c r="BU13" s="28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50"/>
    </row>
    <row r="14" spans="1:86" s="12" customFormat="1" ht="13.25" customHeight="1">
      <c r="A14" s="9"/>
      <c r="B14" s="30" t="s">
        <v>7</v>
      </c>
      <c r="C14" s="31" t="s">
        <v>38</v>
      </c>
      <c r="D14" s="31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7"/>
      <c r="Q14" s="27"/>
      <c r="R14" s="27"/>
      <c r="S14" s="27"/>
      <c r="T14" s="28"/>
      <c r="U14" s="28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6"/>
      <c r="AM14" s="26"/>
      <c r="AN14" s="29"/>
      <c r="AO14" s="29"/>
      <c r="AP14" s="29"/>
      <c r="AQ14" s="29"/>
      <c r="AR14" s="29"/>
      <c r="AS14" s="29"/>
      <c r="AT14" s="29"/>
      <c r="AU14" s="32"/>
      <c r="AV14" s="27"/>
      <c r="AW14" s="29"/>
      <c r="AX14" s="29"/>
      <c r="AY14" s="29"/>
      <c r="AZ14" s="29"/>
      <c r="BA14" s="28"/>
      <c r="BB14" s="28"/>
      <c r="BC14" s="28"/>
      <c r="BD14" s="28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8"/>
      <c r="BU14" s="28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50"/>
    </row>
    <row r="15" spans="1:86" s="12" customFormat="1" ht="13.25" customHeight="1">
      <c r="A15" s="9"/>
      <c r="B15" s="30" t="s">
        <v>8</v>
      </c>
      <c r="C15" s="31" t="s">
        <v>38</v>
      </c>
      <c r="D15" s="31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7"/>
      <c r="Q15" s="27"/>
      <c r="R15" s="27"/>
      <c r="S15" s="27"/>
      <c r="T15" s="28"/>
      <c r="U15" s="28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37" t="s">
        <v>13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29"/>
      <c r="AV15" s="29"/>
      <c r="AW15" s="29"/>
      <c r="AX15" s="29"/>
      <c r="AY15" s="29"/>
      <c r="AZ15" s="29"/>
      <c r="BA15" s="28"/>
      <c r="BB15" s="28"/>
      <c r="BC15" s="28"/>
      <c r="BD15" s="28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8"/>
      <c r="BU15" s="28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50"/>
    </row>
    <row r="16" spans="1:86" s="12" customFormat="1" ht="13.25" customHeight="1">
      <c r="A16" s="9"/>
      <c r="B16" s="30" t="s">
        <v>29</v>
      </c>
      <c r="C16" s="31" t="s">
        <v>38</v>
      </c>
      <c r="D16" s="31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7"/>
      <c r="Q16" s="27"/>
      <c r="R16" s="27"/>
      <c r="S16" s="27"/>
      <c r="T16" s="28"/>
      <c r="U16" s="28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32"/>
      <c r="AI16" s="32"/>
      <c r="AJ16" s="29"/>
      <c r="AK16" s="29"/>
      <c r="AL16" s="26"/>
      <c r="AM16" s="26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8"/>
      <c r="BB16" s="28"/>
      <c r="BC16" s="28"/>
      <c r="BD16" s="28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8"/>
      <c r="BU16" s="28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50"/>
    </row>
    <row r="17" spans="1:86" s="12" customFormat="1" ht="14" customHeight="1">
      <c r="A17" s="9"/>
      <c r="B17" s="30" t="s">
        <v>9</v>
      </c>
      <c r="C17" s="31" t="s">
        <v>32</v>
      </c>
      <c r="D17" s="31"/>
      <c r="E17" s="26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7"/>
      <c r="Q17" s="27"/>
      <c r="R17" s="27"/>
      <c r="S17" s="27"/>
      <c r="T17" s="28"/>
      <c r="U17" s="28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37" t="s">
        <v>13</v>
      </c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28"/>
      <c r="BB17" s="28"/>
      <c r="BC17" s="28"/>
      <c r="BD17" s="28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8"/>
      <c r="BU17" s="28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51"/>
    </row>
    <row r="18" spans="1:86" s="12" customFormat="1" ht="13">
      <c r="A18" s="9"/>
      <c r="B18" s="30" t="s">
        <v>10</v>
      </c>
      <c r="C18" s="31" t="s">
        <v>32</v>
      </c>
      <c r="D18" s="33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27"/>
      <c r="Q18" s="27"/>
      <c r="R18" s="27"/>
      <c r="S18" s="27"/>
      <c r="T18" s="28"/>
      <c r="U18" s="28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32"/>
      <c r="AZ18" s="32"/>
      <c r="BA18" s="28"/>
      <c r="BB18" s="28"/>
      <c r="BC18" s="28"/>
      <c r="BD18" s="28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8"/>
      <c r="BU18" s="28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51"/>
    </row>
    <row r="19" spans="1:86" s="12" customFormat="1" ht="13">
      <c r="A19" s="9"/>
      <c r="B19" s="34"/>
      <c r="C19" s="33"/>
      <c r="D19" s="33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27"/>
      <c r="Q19" s="27"/>
      <c r="R19" s="27"/>
      <c r="S19" s="27"/>
      <c r="T19" s="28"/>
      <c r="U19" s="28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8"/>
      <c r="BB19" s="28"/>
      <c r="BC19" s="28"/>
      <c r="BD19" s="28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8"/>
      <c r="BU19" s="28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51"/>
    </row>
    <row r="20" spans="1:86" s="12" customFormat="1" ht="13">
      <c r="A20" s="9"/>
      <c r="B20" s="35" t="s">
        <v>11</v>
      </c>
      <c r="C20" s="33"/>
      <c r="D20" s="33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52"/>
    </row>
    <row r="21" spans="1:86" s="12" customFormat="1" ht="13">
      <c r="A21" s="9"/>
      <c r="B21" s="34" t="s">
        <v>12</v>
      </c>
      <c r="C21" s="33" t="s">
        <v>32</v>
      </c>
      <c r="D21" s="33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8"/>
      <c r="U21" s="28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8"/>
      <c r="BB21" s="28"/>
      <c r="BC21" s="28"/>
      <c r="BD21" s="32"/>
      <c r="BE21" s="32"/>
      <c r="BF21" s="32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8"/>
      <c r="BU21" s="28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51"/>
    </row>
    <row r="22" spans="1:86" s="12" customFormat="1" ht="13">
      <c r="A22" s="9"/>
      <c r="B22" s="34" t="s">
        <v>14</v>
      </c>
      <c r="C22" s="33" t="s">
        <v>33</v>
      </c>
      <c r="D22" s="33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8"/>
      <c r="U22" s="28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8"/>
      <c r="BB22" s="28"/>
      <c r="BC22" s="28"/>
      <c r="BD22" s="28"/>
      <c r="BE22" s="32"/>
      <c r="BF22" s="32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8"/>
      <c r="BU22" s="28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51"/>
    </row>
    <row r="23" spans="1:86" s="12" customFormat="1" ht="13">
      <c r="A23" s="9"/>
      <c r="B23" s="34" t="s">
        <v>15</v>
      </c>
      <c r="C23" s="33" t="s">
        <v>32</v>
      </c>
      <c r="D23" s="33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8"/>
      <c r="U23" s="28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8"/>
      <c r="BB23" s="28"/>
      <c r="BC23" s="28"/>
      <c r="BD23" s="28"/>
      <c r="BE23" s="26"/>
      <c r="BF23" s="37" t="s">
        <v>13</v>
      </c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8"/>
      <c r="BU23" s="28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51"/>
    </row>
    <row r="24" spans="1:86" s="12" customFormat="1" ht="13">
      <c r="A24" s="9"/>
      <c r="B24" s="34" t="s">
        <v>16</v>
      </c>
      <c r="C24" s="31" t="s">
        <v>38</v>
      </c>
      <c r="D24" s="33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8"/>
      <c r="U24" s="28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8"/>
      <c r="BB24" s="28"/>
      <c r="BC24" s="28"/>
      <c r="BD24" s="28"/>
      <c r="BE24" s="26"/>
      <c r="BF24" s="32"/>
      <c r="BG24" s="32"/>
      <c r="BH24" s="32"/>
      <c r="BI24" s="32"/>
      <c r="BJ24" s="32"/>
      <c r="BK24" s="32"/>
      <c r="BL24" s="26"/>
      <c r="BM24" s="26"/>
      <c r="BN24" s="26"/>
      <c r="BO24" s="26"/>
      <c r="BP24" s="26"/>
      <c r="BQ24" s="26"/>
      <c r="BR24" s="26"/>
      <c r="BS24" s="26"/>
      <c r="BT24" s="28"/>
      <c r="BU24" s="28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51"/>
    </row>
    <row r="25" spans="1:86" s="12" customFormat="1" ht="13">
      <c r="A25" s="9"/>
      <c r="B25" s="34" t="s">
        <v>17</v>
      </c>
      <c r="C25" s="33" t="s">
        <v>32</v>
      </c>
      <c r="D25" s="33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8"/>
      <c r="U25" s="28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8"/>
      <c r="BB25" s="28"/>
      <c r="BC25" s="28"/>
      <c r="BD25" s="28"/>
      <c r="BE25" s="26"/>
      <c r="BF25" s="26"/>
      <c r="BG25" s="26"/>
      <c r="BH25" s="26"/>
      <c r="BI25" s="26"/>
      <c r="BJ25" s="26"/>
      <c r="BK25" s="37" t="s">
        <v>13</v>
      </c>
      <c r="BL25" s="26"/>
      <c r="BM25" s="26"/>
      <c r="BN25" s="26"/>
      <c r="BO25" s="26"/>
      <c r="BP25" s="26"/>
      <c r="BQ25" s="26"/>
      <c r="BR25" s="26"/>
      <c r="BS25" s="26"/>
      <c r="BT25" s="28"/>
      <c r="BU25" s="28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51"/>
    </row>
    <row r="26" spans="1:86" s="12" customFormat="1" ht="13">
      <c r="A26" s="9"/>
      <c r="B26" s="34" t="s">
        <v>18</v>
      </c>
      <c r="C26" s="31" t="s">
        <v>38</v>
      </c>
      <c r="D26" s="33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8"/>
      <c r="U26" s="28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8"/>
      <c r="BB26" s="28"/>
      <c r="BC26" s="28"/>
      <c r="BD26" s="28"/>
      <c r="BE26" s="26"/>
      <c r="BF26" s="26"/>
      <c r="BG26" s="26"/>
      <c r="BH26" s="26"/>
      <c r="BI26" s="26"/>
      <c r="BJ26" s="26"/>
      <c r="BK26" s="32"/>
      <c r="BL26" s="32"/>
      <c r="BM26" s="26"/>
      <c r="BN26" s="26"/>
      <c r="BO26" s="26"/>
      <c r="BP26" s="26"/>
      <c r="BQ26" s="26"/>
      <c r="BR26" s="26"/>
      <c r="BS26" s="26"/>
      <c r="BT26" s="28"/>
      <c r="BU26" s="28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51"/>
    </row>
    <row r="27" spans="1:86" s="12" customFormat="1" ht="13">
      <c r="A27" s="9"/>
      <c r="B27" s="34"/>
      <c r="C27" s="33"/>
      <c r="D27" s="33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28"/>
      <c r="U27" s="2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26"/>
      <c r="AM27" s="26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28"/>
      <c r="BB27" s="28"/>
      <c r="BC27" s="28"/>
      <c r="BD27" s="2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28"/>
      <c r="BU27" s="2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53"/>
    </row>
    <row r="28" spans="1:86" s="12" customFormat="1" ht="13">
      <c r="A28" s="9"/>
      <c r="B28" s="35" t="s">
        <v>39</v>
      </c>
      <c r="C28" s="33"/>
      <c r="D28" s="33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52"/>
    </row>
    <row r="29" spans="1:86" s="12" customFormat="1" ht="13">
      <c r="A29" s="9"/>
      <c r="B29" s="34" t="s">
        <v>35</v>
      </c>
      <c r="C29" s="33" t="s">
        <v>21</v>
      </c>
      <c r="D29" s="33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8"/>
      <c r="U29" s="28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8"/>
      <c r="BB29" s="28"/>
      <c r="BC29" s="28"/>
      <c r="BD29" s="28"/>
      <c r="BE29" s="26"/>
      <c r="BF29" s="26"/>
      <c r="BG29" s="26"/>
      <c r="BH29" s="26"/>
      <c r="BI29" s="32"/>
      <c r="BJ29" s="32"/>
      <c r="BK29" s="32"/>
      <c r="BL29" s="32"/>
      <c r="BM29" s="26"/>
      <c r="BN29" s="26"/>
      <c r="BO29" s="26"/>
      <c r="BP29" s="26"/>
      <c r="BQ29" s="26"/>
      <c r="BR29" s="26"/>
      <c r="BS29" s="26"/>
      <c r="BT29" s="28"/>
      <c r="BU29" s="28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51"/>
    </row>
    <row r="30" spans="1:86" s="12" customFormat="1" ht="13">
      <c r="A30" s="9"/>
      <c r="B30" s="34" t="s">
        <v>19</v>
      </c>
      <c r="C30" s="33" t="s">
        <v>32</v>
      </c>
      <c r="D30" s="33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8"/>
      <c r="U30" s="28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8"/>
      <c r="BB30" s="28"/>
      <c r="BC30" s="28"/>
      <c r="BD30" s="28"/>
      <c r="BE30" s="26"/>
      <c r="BF30" s="26"/>
      <c r="BG30" s="26"/>
      <c r="BH30" s="26"/>
      <c r="BI30" s="26"/>
      <c r="BJ30" s="26"/>
      <c r="BK30" s="26"/>
      <c r="BL30" s="32"/>
      <c r="BM30" s="26"/>
      <c r="BN30" s="26"/>
      <c r="BO30" s="26"/>
      <c r="BP30" s="26"/>
      <c r="BQ30" s="26"/>
      <c r="BR30" s="26"/>
      <c r="BS30" s="26"/>
      <c r="BT30" s="28"/>
      <c r="BU30" s="28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51"/>
    </row>
    <row r="31" spans="1:86" s="12" customFormat="1" ht="13">
      <c r="A31" s="9"/>
      <c r="B31" s="34" t="s">
        <v>34</v>
      </c>
      <c r="C31" s="33" t="s">
        <v>20</v>
      </c>
      <c r="D31" s="33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8"/>
      <c r="U31" s="28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8"/>
      <c r="BB31" s="28"/>
      <c r="BC31" s="28"/>
      <c r="BD31" s="28"/>
      <c r="BE31" s="26"/>
      <c r="BF31" s="26"/>
      <c r="BG31" s="26"/>
      <c r="BH31" s="26"/>
      <c r="BI31" s="26"/>
      <c r="BJ31" s="26"/>
      <c r="BK31" s="26"/>
      <c r="BL31" s="32"/>
      <c r="BM31" s="32"/>
      <c r="BN31" s="32"/>
      <c r="BO31" s="32" t="s">
        <v>30</v>
      </c>
      <c r="BP31" s="32" t="s">
        <v>30</v>
      </c>
      <c r="BQ31" s="32" t="s">
        <v>30</v>
      </c>
      <c r="BR31" s="32" t="s">
        <v>30</v>
      </c>
      <c r="BS31" s="26"/>
      <c r="BT31" s="28"/>
      <c r="BU31" s="28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51"/>
    </row>
    <row r="32" spans="1:86" s="12" customFormat="1" ht="13">
      <c r="A32" s="9"/>
      <c r="B32" s="34" t="s">
        <v>36</v>
      </c>
      <c r="C32" s="33" t="s">
        <v>21</v>
      </c>
      <c r="D32" s="33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8"/>
      <c r="U32" s="28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8"/>
      <c r="BB32" s="28"/>
      <c r="BC32" s="28"/>
      <c r="BD32" s="28"/>
      <c r="BE32" s="26"/>
      <c r="BF32" s="26"/>
      <c r="BG32" s="26"/>
      <c r="BH32" s="26"/>
      <c r="BI32" s="26"/>
      <c r="BJ32" s="26"/>
      <c r="BK32" s="26"/>
      <c r="BL32" s="32"/>
      <c r="BM32" s="26"/>
      <c r="BN32" s="26"/>
      <c r="BO32" s="26"/>
      <c r="BP32" s="26"/>
      <c r="BQ32" s="26"/>
      <c r="BR32" s="26"/>
      <c r="BS32" s="26"/>
      <c r="BT32" s="28"/>
      <c r="BU32" s="28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51"/>
    </row>
    <row r="33" spans="1:86" s="12" customFormat="1" ht="13">
      <c r="A33" s="9"/>
      <c r="B33" s="34" t="s">
        <v>22</v>
      </c>
      <c r="C33" s="33" t="s">
        <v>32</v>
      </c>
      <c r="D33" s="33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8"/>
      <c r="U33" s="28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8"/>
      <c r="BB33" s="28"/>
      <c r="BC33" s="28"/>
      <c r="BD33" s="28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37" t="s">
        <v>13</v>
      </c>
      <c r="BS33" s="26"/>
      <c r="BT33" s="28"/>
      <c r="BU33" s="28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51"/>
    </row>
    <row r="34" spans="1:86" s="12" customFormat="1" ht="13">
      <c r="A34" s="9"/>
      <c r="B34" s="34" t="s">
        <v>23</v>
      </c>
      <c r="C34" s="33" t="s">
        <v>38</v>
      </c>
      <c r="D34" s="33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8"/>
      <c r="U34" s="28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8"/>
      <c r="BB34" s="28"/>
      <c r="BC34" s="28"/>
      <c r="BD34" s="28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32"/>
      <c r="BS34" s="32"/>
      <c r="BT34" s="28"/>
      <c r="BU34" s="28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51"/>
    </row>
    <row r="35" spans="1:86" s="12" customFormat="1" ht="13">
      <c r="A35" s="9"/>
      <c r="B35" s="34"/>
      <c r="C35" s="33"/>
      <c r="D35" s="33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8"/>
      <c r="U35" s="28"/>
      <c r="V35" s="26"/>
      <c r="W35" s="26"/>
      <c r="X35" s="26"/>
      <c r="Y35" s="26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8"/>
      <c r="BB35" s="28"/>
      <c r="BC35" s="28"/>
      <c r="BD35" s="28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8"/>
      <c r="BU35" s="28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51"/>
    </row>
    <row r="36" spans="1:86" s="12" customFormat="1" ht="13">
      <c r="A36" s="9"/>
      <c r="B36" s="35" t="s">
        <v>24</v>
      </c>
      <c r="C36" s="33"/>
      <c r="D36" s="33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52"/>
    </row>
    <row r="37" spans="1:86" s="12" customFormat="1" ht="13">
      <c r="A37" s="9"/>
      <c r="B37" s="34" t="s">
        <v>25</v>
      </c>
      <c r="C37" s="33" t="s">
        <v>38</v>
      </c>
      <c r="D37" s="33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8"/>
      <c r="U37" s="28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8"/>
      <c r="BB37" s="28"/>
      <c r="BC37" s="28"/>
      <c r="BD37" s="28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8"/>
      <c r="BU37" s="28"/>
      <c r="BV37" s="37" t="s">
        <v>13</v>
      </c>
      <c r="BW37" s="32">
        <v>1</v>
      </c>
      <c r="BX37" s="32">
        <v>1</v>
      </c>
      <c r="BY37" s="32">
        <v>1</v>
      </c>
      <c r="BZ37" s="32">
        <v>1</v>
      </c>
      <c r="CA37" s="32">
        <v>1</v>
      </c>
      <c r="CB37" s="32">
        <v>1</v>
      </c>
      <c r="CC37" s="32">
        <v>1</v>
      </c>
      <c r="CD37" s="32">
        <v>1</v>
      </c>
      <c r="CE37" s="32">
        <v>1</v>
      </c>
      <c r="CF37" s="32">
        <v>1</v>
      </c>
      <c r="CG37" s="32">
        <v>1</v>
      </c>
      <c r="CH37" s="51"/>
    </row>
    <row r="38" spans="1:86" s="12" customFormat="1" ht="13">
      <c r="A38" s="9"/>
      <c r="B38" s="34" t="s">
        <v>26</v>
      </c>
      <c r="C38" s="33" t="s">
        <v>21</v>
      </c>
      <c r="D38" s="33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8"/>
      <c r="U38" s="28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8"/>
      <c r="BB38" s="28"/>
      <c r="BC38" s="28"/>
      <c r="BD38" s="28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8"/>
      <c r="BU38" s="28"/>
      <c r="BV38" s="26"/>
      <c r="BW38" s="26"/>
      <c r="BX38" s="26"/>
      <c r="BY38" s="26"/>
      <c r="BZ38" s="26"/>
      <c r="CA38" s="26"/>
      <c r="CB38" s="26"/>
      <c r="CC38" s="26"/>
      <c r="CD38" s="32">
        <v>1</v>
      </c>
      <c r="CE38" s="32">
        <v>1</v>
      </c>
      <c r="CF38" s="32">
        <v>1</v>
      </c>
      <c r="CG38" s="32">
        <v>1</v>
      </c>
      <c r="CH38" s="56">
        <v>1</v>
      </c>
    </row>
    <row r="39" spans="1:86" s="12" customFormat="1" ht="13">
      <c r="A39" s="9"/>
      <c r="B39" s="34" t="s">
        <v>24</v>
      </c>
      <c r="C39" s="33" t="s">
        <v>27</v>
      </c>
      <c r="D39" s="33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8"/>
      <c r="U39" s="28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8"/>
      <c r="BB39" s="28"/>
      <c r="BC39" s="28"/>
      <c r="BD39" s="28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8"/>
      <c r="BU39" s="28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55" t="s">
        <v>13</v>
      </c>
    </row>
    <row r="40" spans="1:86" ht="14.5" thickBot="1">
      <c r="B40" s="39"/>
      <c r="C40" s="40"/>
      <c r="D40" s="40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  <c r="U40" s="42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2"/>
      <c r="BB40" s="42"/>
      <c r="BC40" s="42"/>
      <c r="BD40" s="42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2"/>
      <c r="BU40" s="42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54"/>
    </row>
    <row r="42" spans="1:86">
      <c r="A42" s="3"/>
      <c r="B42" s="3"/>
      <c r="C42" s="3"/>
      <c r="D42" s="3"/>
      <c r="E42" s="43"/>
      <c r="F42" s="44" t="s">
        <v>28</v>
      </c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</row>
    <row r="43" spans="1:86">
      <c r="E43" s="2"/>
      <c r="F43" s="2"/>
      <c r="G43" s="2"/>
      <c r="H43" s="2"/>
      <c r="I43" s="2"/>
      <c r="J43" s="2"/>
      <c r="K43" s="2"/>
    </row>
  </sheetData>
  <mergeCells count="19">
    <mergeCell ref="E2:H2"/>
    <mergeCell ref="R2:U2"/>
    <mergeCell ref="AE2:AH2"/>
    <mergeCell ref="I2:M2"/>
    <mergeCell ref="N2:Q2"/>
    <mergeCell ref="V2:Z2"/>
    <mergeCell ref="AA2:AD2"/>
    <mergeCell ref="AI2:AL2"/>
    <mergeCell ref="AM2:AQ2"/>
    <mergeCell ref="AR2:AU2"/>
    <mergeCell ref="AV2:AZ2"/>
    <mergeCell ref="BA2:BD2"/>
    <mergeCell ref="CA2:CD2"/>
    <mergeCell ref="CE2:CH2"/>
    <mergeCell ref="BE2:BH2"/>
    <mergeCell ref="BI2:BM2"/>
    <mergeCell ref="BN2:BQ2"/>
    <mergeCell ref="BR2:BU2"/>
    <mergeCell ref="BV2:BZ2"/>
  </mergeCells>
  <printOptions horizontalCentered="1"/>
  <pageMargins left="0.25" right="0.25" top="0.75" bottom="0.75" header="0.3" footer="0.3"/>
  <pageSetup paperSize="26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09f718c531d0f966c564feec42c5fcd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de9983dd656192b57f00b3e4a547e941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B978F7-854A-4C60-B571-1C62DF93E8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E2EFB7-8BFE-4E20-9AD3-653F6889D875}">
  <ds:schemaRefs>
    <ds:schemaRef ds:uri="http://schemas.microsoft.com/office/2006/metadata/properties"/>
    <ds:schemaRef ds:uri="http://schemas.microsoft.com/office/infopath/2007/PartnerControls"/>
    <ds:schemaRef ds:uri="a8a39f28-09fa-4a45-b3ec-6aa19fde8df3"/>
    <ds:schemaRef ds:uri="f6743e58-6941-433d-aef5-0421a22e335a"/>
  </ds:schemaRefs>
</ds:datastoreItem>
</file>

<file path=customXml/itemProps3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 (Project Galaxy)</vt:lpstr>
      <vt:lpstr>'Timeline (Project Galaxy)'!Print_Area</vt:lpstr>
      <vt:lpstr>'Timeline (Project Galaxy)'!Print_Titles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2025-08-04T14:44:20Z</dcterms:created>
  <dcterms:modified xsi:type="dcterms:W3CDTF">2025-10-20T16:31:01Z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