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7" documentId="8_{945FE791-02DA-4FCE-A5A1-CEC0844F17EC}" xr6:coauthVersionLast="47" xr6:coauthVersionMax="47" xr10:uidLastSave="{C7DFDAA8-A5C5-4787-ADE5-9B2968CCD1C6}"/>
  <bookViews>
    <workbookView xWindow="-28898" yWindow="1688" windowWidth="28996" windowHeight="15675" xr2:uid="{6B856535-9CA1-4EC6-8AE7-0813AA390F50}"/>
  </bookViews>
  <sheets>
    <sheet name="Timeline" sheetId="2" r:id="rId1"/>
    <sheet name="Key People" sheetId="3" r:id="rId2"/>
    <sheet name="UPSLIDE_UndoFormatting" sheetId="5" state="hidden" r:id="rId3"/>
    <sheet name="UPSLIDE_Undo" sheetId="4" state="hidden" r:id="rId4"/>
  </sheets>
  <definedNames>
    <definedName name="_UNDO_UPS_" hidden="1">'Key People'!$7:$11</definedName>
    <definedName name="_UNDO_UPS_SEL_" hidden="1">'Key People'!$B$7:$F$11</definedName>
    <definedName name="_UNDO31X31X_" hidden="1">'Key People'!$7:$11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45051.3340972222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Timeline!$B$6:$BE$55</definedName>
    <definedName name="_xlnm.Print_Titles" localSheetId="0">Timeline!$A:$B,Timeline!$1:$11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11" i="2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l="1"/>
  <c r="AZ11" i="2" s="1"/>
  <c r="BA11" i="2" s="1"/>
  <c r="BB11" i="2" s="1"/>
  <c r="AX9" i="2"/>
  <c r="AJ9" i="2"/>
  <c r="F9" i="2"/>
  <c r="J9" i="2"/>
  <c r="O9" i="2"/>
  <c r="S9" i="2"/>
  <c r="W9" i="2"/>
  <c r="AB9" i="2"/>
  <c r="AF9" i="2"/>
  <c r="AO9" i="2"/>
  <c r="AS9" i="2"/>
  <c r="BC11" i="2" l="1"/>
  <c r="BD11" i="2" s="1"/>
  <c r="BE11" i="2" s="1"/>
  <c r="BB9" i="2"/>
</calcChain>
</file>

<file path=xl/sharedStrings.xml><?xml version="1.0" encoding="utf-8"?>
<sst xmlns="http://schemas.openxmlformats.org/spreadsheetml/2006/main" count="153" uniqueCount="87">
  <si>
    <t>Projeto</t>
  </si>
  <si>
    <t>Tarefa</t>
  </si>
  <si>
    <t>Responsabilidade</t>
  </si>
  <si>
    <t>Preparação</t>
  </si>
  <si>
    <t>Envio de pedido de informação preliminar</t>
  </si>
  <si>
    <t>CW</t>
  </si>
  <si>
    <t>Recolha, análise e Q&amp;A da documentação enviada</t>
  </si>
  <si>
    <t>CW / TQ Saúde</t>
  </si>
  <si>
    <t>Preparação de VDR</t>
  </si>
  <si>
    <t>▲</t>
  </si>
  <si>
    <t>Preparação de Lista de Potenciais Investidores</t>
  </si>
  <si>
    <t>Apresentação e discussão da lista de Potenciais Investidores</t>
  </si>
  <si>
    <t>TQ Saúde</t>
  </si>
  <si>
    <t>Preparação de Teaser e Memorando de Informação</t>
  </si>
  <si>
    <t>Finalização de Teaser e Memorando de Informação</t>
  </si>
  <si>
    <t>Versão final de "Process Letter - I" e NDA's</t>
  </si>
  <si>
    <t>Fase 1: Marketing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</si>
  <si>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</si>
  <si>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</si>
  <si>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</si>
  <si>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</si>
  <si>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</si>
  <si>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CW / TQ Saúde / Investidores</t>
  </si>
  <si>
    <t>Investidores</t>
  </si>
  <si>
    <t>Eventuais visitas às instalações + Reuniões preliminares</t>
  </si>
  <si>
    <t xml:space="preserve">Receção Propostas não Vinculativas (NBOs) </t>
  </si>
  <si>
    <t>Avaliação de NBOs</t>
  </si>
  <si>
    <t>Comunicação da Seleção de short list de investidores</t>
  </si>
  <si>
    <t>Envio de Process Letter II</t>
  </si>
  <si>
    <t>Sessões com Experts</t>
  </si>
  <si>
    <t>DD / Investidores</t>
  </si>
  <si>
    <t>Preparação de apresentações de Gestão</t>
  </si>
  <si>
    <t>Apresentações de Gestão</t>
  </si>
  <si>
    <t>Partilha de minutas de SPA e termos legais para a transação</t>
  </si>
  <si>
    <t>Legal</t>
  </si>
  <si>
    <t>CW / TQ Saude / Legal</t>
  </si>
  <si>
    <t>Finalização de documentação legal e assinatura SPA</t>
  </si>
  <si>
    <t>Conclusão</t>
  </si>
  <si>
    <t>Todos</t>
  </si>
  <si>
    <t>Periodo de férias</t>
  </si>
  <si>
    <t>Manuel José Lemos</t>
  </si>
  <si>
    <t>F.Lemos</t>
  </si>
  <si>
    <t>Jorge Alves</t>
  </si>
  <si>
    <t>Brigangest</t>
  </si>
  <si>
    <t>MCA</t>
  </si>
  <si>
    <t>António Oliveira</t>
  </si>
  <si>
    <t>José Lemos</t>
  </si>
  <si>
    <t>Afonso Lima</t>
  </si>
  <si>
    <t>Sofia Xavier</t>
  </si>
  <si>
    <t>Clearwater</t>
  </si>
  <si>
    <t>Partner</t>
  </si>
  <si>
    <t>Associate Partner</t>
  </si>
  <si>
    <t>Associate Director</t>
  </si>
  <si>
    <t>Nome</t>
  </si>
  <si>
    <t>Grupo</t>
  </si>
  <si>
    <t>Cargo</t>
  </si>
  <si>
    <t>Telefone</t>
  </si>
  <si>
    <t>e-mail</t>
  </si>
  <si>
    <t>f.lemos@htq.pt</t>
  </si>
  <si>
    <t>jose.lemos@clearwatercf.com</t>
  </si>
  <si>
    <t>afonso.lima@clearwatercf.com</t>
  </si>
  <si>
    <t>sofia.xavier@clearwatercf.com</t>
  </si>
  <si>
    <t>jorge.alves@htq.pt</t>
  </si>
  <si>
    <t>antonio.oliveira@mcagroup.com</t>
  </si>
  <si>
    <t>+351 910766229</t>
  </si>
  <si>
    <t>+351 965843810</t>
  </si>
  <si>
    <t>+351 933467877</t>
  </si>
  <si>
    <t>+351 910703148</t>
  </si>
  <si>
    <t>+351 917529764</t>
  </si>
  <si>
    <t>+351 924469250</t>
  </si>
  <si>
    <t>Due Diligence</t>
  </si>
  <si>
    <t>Avaliação de BO e Mark-up de SPA</t>
  </si>
  <si>
    <t>Negociação final e discussão de SPA</t>
  </si>
  <si>
    <t>Análise de Memorando de Informação e DataPack</t>
  </si>
  <si>
    <t>Receção de Ofertas Vinculativa (BO) e Mark-Up de SPA</t>
  </si>
  <si>
    <t>CW / Legal</t>
  </si>
  <si>
    <t>Preparação e Entrega de Contas Previsionais 2025</t>
  </si>
  <si>
    <t>Preparação do Plano de Negócios</t>
  </si>
  <si>
    <t>Discussão de "Red Flags" da Transação</t>
  </si>
  <si>
    <t>Receção Propostas não Vinculativas (NBOs) revistas</t>
  </si>
  <si>
    <t>Avaliação das Ofertas revistas e Seleção do investidor final</t>
  </si>
  <si>
    <t>Fase 2: Apresentação de Gestão</t>
  </si>
  <si>
    <t>Envio de Process Letter III</t>
  </si>
  <si>
    <t>Fase 3: Exclusividade e Due Dilligence</t>
  </si>
  <si>
    <t>Acesso à VDR</t>
  </si>
  <si>
    <t>Fase 4: Conclusão</t>
  </si>
  <si>
    <t>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</si>
</sst>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#,##0.0;\(#,##0.0\);&quot;–&quot;"/>
  </numFmts>
  <fonts count="24">
    <font>
      <sz val="11"/>
      <name val="Gill Sans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1"/>
      <name val="Bierstadt Display"/>
      <family val="2"/>
    </font>
    <font>
      <u/>
      <sz val="11"/>
      <color theme="10"/>
      <name val="Gill Sans"/>
    </font>
    <font>
      <sz val="12"/>
      <name val="Bierstadt Display"/>
      <family val="2"/>
    </font>
    <font>
      <b/>
      <sz val="12"/>
      <color rgb="FFFFFFFF"/>
      <name val="Skeena"/>
    </font>
    <font>
      <sz val="12"/>
      <color rgb="FF0D0039"/>
      <name val="Bierstadt"/>
      <family val="2"/>
    </font>
    <font>
      <b/>
      <sz val="12"/>
      <color rgb="FF0D0039"/>
      <name val="Bierstadt"/>
      <family val="2"/>
    </font>
    <font>
      <sz val="14"/>
      <color theme="1"/>
      <name val="Bierstadt"/>
      <family val="2"/>
      <scheme val="minor"/>
    </font>
    <font>
      <b/>
      <sz val="14"/>
      <color theme="0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4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sz val="10"/>
      <color theme="4"/>
      <name val="Bierstadt"/>
      <family val="2"/>
      <scheme val="minor"/>
    </font>
    <font>
      <b/>
      <i/>
      <sz val="10"/>
      <color rgb="FFFF0000"/>
      <name val="Bierstadt"/>
      <family val="2"/>
      <scheme val="minor"/>
    </font>
    <font>
      <i/>
      <sz val="10"/>
      <color rgb="FF272F6A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sz val="9"/>
      <color theme="1"/>
      <name val="Bierstadt"/>
      <family val="2"/>
      <scheme val="minor"/>
    </font>
    <font>
      <b/>
      <sz val="14"/>
      <color theme="4"/>
      <name val="Bierstad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D0039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D0039"/>
      </top>
      <bottom/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 style="medium">
        <color rgb="FF272F6A"/>
      </left>
      <right style="medium">
        <color rgb="FF272F6A"/>
      </right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theme="0"/>
      </left>
      <right/>
      <top style="thick">
        <color theme="4"/>
      </top>
      <bottom style="thick">
        <color theme="4"/>
      </bottom>
      <diagonal/>
    </border>
    <border>
      <left/>
      <right style="thin">
        <color theme="0"/>
      </right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 style="double">
        <color theme="4"/>
      </top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 applyProtection="1">
      <alignment vertical="center"/>
      <protection locked="0"/>
    </xf>
    <xf numFmtId="0" fontId="2" fillId="0" borderId="0" xfId="1" applyFont="1" applyAlignment="1">
      <alignment horizontal="centerContinuous" vertical="center"/>
    </xf>
    <xf numFmtId="0" fontId="3" fillId="2" borderId="0" xfId="0" applyFont="1" applyFill="1"/>
    <xf numFmtId="0" fontId="4" fillId="2" borderId="0" xfId="2" applyFill="1"/>
    <xf numFmtId="0" fontId="3" fillId="2" borderId="0" xfId="0" quotePrefix="1" applyFont="1" applyFill="1"/>
    <xf numFmtId="0" fontId="4" fillId="2" borderId="0" xfId="2" applyNumberFormat="1" applyFill="1"/>
    <xf numFmtId="0" fontId="5" fillId="2" borderId="0" xfId="0" applyFont="1" applyFill="1"/>
    <xf numFmtId="165" fontId="8" fillId="2" borderId="23" xfId="0" applyNumberFormat="1" applyFont="1" applyFill="1" applyBorder="1" applyAlignment="1">
      <alignment horizontal="left"/>
    </xf>
    <xf numFmtId="165" fontId="8" fillId="2" borderId="23" xfId="0" applyNumberFormat="1" applyFont="1" applyFill="1" applyBorder="1" applyAlignment="1">
      <alignment horizontal="right"/>
    </xf>
    <xf numFmtId="165" fontId="7" fillId="2" borderId="0" xfId="0" applyNumberFormat="1" applyFont="1" applyFill="1" applyAlignment="1">
      <alignment vertical="center"/>
    </xf>
    <xf numFmtId="165" fontId="7" fillId="2" borderId="0" xfId="0" quotePrefix="1" applyNumberFormat="1" applyFont="1" applyFill="1" applyAlignment="1">
      <alignment vertical="center"/>
    </xf>
    <xf numFmtId="165" fontId="7" fillId="2" borderId="0" xfId="2" applyNumberFormat="1" applyFont="1" applyFill="1" applyAlignment="1">
      <alignment vertical="center"/>
    </xf>
    <xf numFmtId="165" fontId="8" fillId="2" borderId="23" xfId="0" applyNumberFormat="1" applyFont="1" applyFill="1" applyBorder="1"/>
    <xf numFmtId="0" fontId="6" fillId="6" borderId="22" xfId="0" applyFont="1" applyFill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 applyProtection="1">
      <alignment vertical="center"/>
      <protection locked="0"/>
    </xf>
    <xf numFmtId="0" fontId="11" fillId="0" borderId="0" xfId="1" applyFont="1" applyAlignment="1">
      <alignment vertical="center"/>
    </xf>
    <xf numFmtId="0" fontId="11" fillId="0" borderId="2" xfId="1" applyFont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0" borderId="0" xfId="1" applyFont="1" applyAlignment="1" applyProtection="1">
      <alignment vertical="center"/>
      <protection locked="0"/>
    </xf>
    <xf numFmtId="0" fontId="13" fillId="8" borderId="6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vertical="center"/>
    </xf>
    <xf numFmtId="164" fontId="14" fillId="8" borderId="7" xfId="1" applyNumberFormat="1" applyFont="1" applyFill="1" applyBorder="1" applyAlignment="1">
      <alignment horizontal="center" vertical="center"/>
    </xf>
    <xf numFmtId="164" fontId="14" fillId="8" borderId="3" xfId="1" applyNumberFormat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center" vertical="center"/>
    </xf>
    <xf numFmtId="0" fontId="16" fillId="2" borderId="12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vertical="center"/>
    </xf>
    <xf numFmtId="0" fontId="17" fillId="4" borderId="18" xfId="1" applyFont="1" applyFill="1" applyBorder="1" applyAlignment="1">
      <alignment vertical="center"/>
    </xf>
    <xf numFmtId="0" fontId="18" fillId="0" borderId="2" xfId="1" applyFont="1" applyBorder="1" applyAlignment="1">
      <alignment horizontal="left" vertical="center" wrapText="1" indent="1"/>
    </xf>
    <xf numFmtId="0" fontId="18" fillId="0" borderId="0" xfId="1" applyFont="1" applyAlignment="1">
      <alignment horizontal="center" vertical="center" wrapText="1"/>
    </xf>
    <xf numFmtId="0" fontId="17" fillId="5" borderId="14" xfId="1" applyFont="1" applyFill="1" applyBorder="1" applyAlignment="1">
      <alignment vertical="center"/>
    </xf>
    <xf numFmtId="0" fontId="17" fillId="3" borderId="7" xfId="1" applyFont="1" applyFill="1" applyBorder="1" applyAlignment="1">
      <alignment vertical="center"/>
    </xf>
    <xf numFmtId="0" fontId="17" fillId="7" borderId="7" xfId="1" applyFont="1" applyFill="1" applyBorder="1" applyAlignment="1">
      <alignment vertical="center"/>
    </xf>
    <xf numFmtId="0" fontId="17" fillId="5" borderId="19" xfId="1" applyFont="1" applyFill="1" applyBorder="1" applyAlignment="1">
      <alignment vertical="center"/>
    </xf>
    <xf numFmtId="0" fontId="17" fillId="3" borderId="14" xfId="1" applyFont="1" applyFill="1" applyBorder="1" applyAlignment="1">
      <alignment vertical="center"/>
    </xf>
    <xf numFmtId="0" fontId="19" fillId="3" borderId="7" xfId="1" applyFont="1" applyFill="1" applyBorder="1" applyAlignment="1">
      <alignment horizontal="center" vertical="center"/>
    </xf>
    <xf numFmtId="0" fontId="20" fillId="5" borderId="7" xfId="1" applyFont="1" applyFill="1" applyBorder="1" applyAlignment="1">
      <alignment vertical="center"/>
    </xf>
    <xf numFmtId="0" fontId="20" fillId="5" borderId="20" xfId="1" applyFont="1" applyFill="1" applyBorder="1" applyAlignment="1">
      <alignment vertical="center"/>
    </xf>
    <xf numFmtId="0" fontId="21" fillId="3" borderId="7" xfId="1" applyFont="1" applyFill="1" applyBorder="1" applyAlignment="1">
      <alignment horizontal="center" vertical="center"/>
    </xf>
    <xf numFmtId="0" fontId="17" fillId="5" borderId="7" xfId="1" applyFont="1" applyFill="1" applyBorder="1" applyAlignment="1">
      <alignment vertical="center"/>
    </xf>
    <xf numFmtId="0" fontId="17" fillId="5" borderId="20" xfId="1" applyFont="1" applyFill="1" applyBorder="1" applyAlignment="1">
      <alignment vertical="center"/>
    </xf>
    <xf numFmtId="0" fontId="16" fillId="2" borderId="2" xfId="1" applyFont="1" applyFill="1" applyBorder="1" applyAlignment="1">
      <alignment horizontal="left" vertical="center" wrapText="1"/>
    </xf>
    <xf numFmtId="0" fontId="18" fillId="2" borderId="0" xfId="1" applyFont="1" applyFill="1" applyAlignment="1">
      <alignment horizontal="center" vertical="center" wrapText="1"/>
    </xf>
    <xf numFmtId="0" fontId="17" fillId="4" borderId="7" xfId="1" applyFont="1" applyFill="1" applyBorder="1" applyAlignment="1">
      <alignment vertical="center"/>
    </xf>
    <xf numFmtId="0" fontId="17" fillId="4" borderId="20" xfId="1" applyFont="1" applyFill="1" applyBorder="1" applyAlignment="1">
      <alignment vertical="center"/>
    </xf>
    <xf numFmtId="0" fontId="17" fillId="5" borderId="8" xfId="1" applyFont="1" applyFill="1" applyBorder="1" applyAlignment="1">
      <alignment vertical="center"/>
    </xf>
    <xf numFmtId="0" fontId="17" fillId="5" borderId="21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17" fillId="5" borderId="17" xfId="1" applyFont="1" applyFill="1" applyBorder="1" applyAlignment="1">
      <alignment vertical="center"/>
    </xf>
    <xf numFmtId="0" fontId="17" fillId="7" borderId="17" xfId="1" applyFont="1" applyFill="1" applyBorder="1" applyAlignment="1">
      <alignment vertical="center"/>
    </xf>
    <xf numFmtId="0" fontId="1" fillId="0" borderId="0" xfId="1" applyAlignment="1" applyProtection="1">
      <alignment vertical="center"/>
      <protection locked="0"/>
    </xf>
    <xf numFmtId="0" fontId="1" fillId="0" borderId="0" xfId="1" applyAlignment="1">
      <alignment horizontal="center" vertical="center"/>
    </xf>
    <xf numFmtId="0" fontId="22" fillId="0" borderId="0" xfId="1" applyFont="1" applyAlignment="1">
      <alignment vertical="center"/>
    </xf>
    <xf numFmtId="0" fontId="17" fillId="7" borderId="14" xfId="1" applyFont="1" applyFill="1" applyBorder="1" applyAlignment="1">
      <alignment vertical="center"/>
    </xf>
    <xf numFmtId="0" fontId="10" fillId="8" borderId="24" xfId="0" applyFont="1" applyFill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13" fillId="0" borderId="0" xfId="1" applyFont="1" applyAlignment="1">
      <alignment horizontal="center" vertical="center"/>
    </xf>
    <xf numFmtId="0" fontId="15" fillId="0" borderId="8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10" xfId="1" applyFont="1" applyBorder="1" applyAlignment="1">
      <alignment vertical="center"/>
    </xf>
    <xf numFmtId="0" fontId="11" fillId="0" borderId="11" xfId="1" applyFont="1" applyBorder="1" applyAlignment="1" applyProtection="1">
      <alignment vertical="center"/>
      <protection locked="0"/>
    </xf>
    <xf numFmtId="0" fontId="23" fillId="0" borderId="25" xfId="0" applyFont="1" applyBorder="1" applyAlignment="1">
      <alignment horizontal="center" vertical="center"/>
    </xf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horizontal="center" vertical="center" wrapText="1"/>
    </xf>
    <xf numFmtId="0" fontId="1" fillId="0" borderId="30" xfId="1" applyBorder="1" applyAlignment="1" applyProtection="1">
      <alignment vertical="center"/>
      <protection locked="0"/>
    </xf>
    <xf numFmtId="17" fontId="10" fillId="8" borderId="26" xfId="1" applyNumberFormat="1" applyFont="1" applyFill="1" applyBorder="1" applyAlignment="1">
      <alignment horizontal="center" vertical="center"/>
    </xf>
    <xf numFmtId="17" fontId="10" fillId="8" borderId="29" xfId="1" applyNumberFormat="1" applyFont="1" applyFill="1" applyBorder="1" applyAlignment="1">
      <alignment horizontal="center" vertical="center"/>
    </xf>
    <xf numFmtId="17" fontId="10" fillId="8" borderId="27" xfId="1" applyNumberFormat="1" applyFont="1" applyFill="1" applyBorder="1" applyAlignment="1">
      <alignment horizontal="center" vertical="center"/>
    </xf>
    <xf numFmtId="17" fontId="10" fillId="8" borderId="28" xfId="1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24A2BFA-D83C-4E04-803C-70C75F3E0718}"/>
  </cellStyles>
  <dxfs count="23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392208</xdr:colOff>
      <xdr:row>5</xdr:row>
      <xdr:rowOff>61632</xdr:rowOff>
    </xdr:from>
    <xdr:to>
      <xdr:col>1</xdr:col>
      <xdr:colOff>2448485</xdr:colOff>
      <xdr:row>7</xdr:row>
      <xdr:rowOff>116227</xdr:rowOff>
    </xdr:to>
    <xdr:pic>
      <xdr:nvPicPr>
        <xdr:cNvPr id="2" name="Picture 1" descr="A blue text on a black background&#10;&#10;Description automatically generated">
          <a:extLst>
            <a:ext uri="{FF2B5EF4-FFF2-40B4-BE49-F238E27FC236}">
              <a16:creationId xmlns:a16="http://schemas.microsoft.com/office/drawing/2014/main" id="{32645BE4-206D-4689-AE4F-16D52338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8" y="61632"/>
          <a:ext cx="2056277" cy="394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 Clearwater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fonso.lima@clearwatercf.com" TargetMode="External"/><Relationship Id="rId2" Type="http://schemas.openxmlformats.org/officeDocument/2006/relationships/hyperlink" Target="mailto:jose.lemos@clearwatercf.com" TargetMode="External"/><Relationship Id="rId1" Type="http://schemas.openxmlformats.org/officeDocument/2006/relationships/hyperlink" Target="mailto:f.lemos@htq.pt" TargetMode="External"/><Relationship Id="rId6" Type="http://schemas.openxmlformats.org/officeDocument/2006/relationships/hyperlink" Target="mailto:antonio.oliveira@mcagroup.com" TargetMode="External"/><Relationship Id="rId5" Type="http://schemas.openxmlformats.org/officeDocument/2006/relationships/hyperlink" Target="mailto:jorge.alves@htq.pt" TargetMode="External"/><Relationship Id="rId4" Type="http://schemas.openxmlformats.org/officeDocument/2006/relationships/hyperlink" Target="mailto:sofia.xavier@clearwaterc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C523-7C90-4AA4-B3CA-ABBDA8D10481}">
  <sheetPr>
    <pageSetUpPr fitToPage="1"/>
  </sheetPr>
  <dimension ref="A1:BE55"/>
  <sheetViews>
    <sheetView showGridLines="0" tabSelected="1" zoomScale="85" zoomScaleNormal="85" zoomScaleSheetLayoutView="50" zoomScalePageLayoutView="55" workbookViewId="0">
      <pane xSplit="2" ySplit="12" topLeftCell="C13" activePane="bottomRight" state="frozen"/>
      <selection pane="topRight" activeCell="C6" sqref="C6"/>
      <selection pane="bottomLeft" activeCell="A12" sqref="A12"/>
      <selection pane="bottomRight" activeCell="B6" sqref="B6"/>
    </sheetView>
  </sheetViews>
  <sheetFormatPr defaultColWidth="9" defaultRowHeight="13.5"/>
  <cols>
    <col min="1" max="1" width="2.5" style="1" customWidth="1"/>
    <col min="2" max="2" width="50.0625" style="1" customWidth="1"/>
    <col min="3" max="3" width="23.1875" style="2" customWidth="1"/>
    <col min="4" max="4" width="5.25" style="1" hidden="1" customWidth="1"/>
    <col min="5" max="9" width="3.625" style="1" hidden="1" customWidth="1"/>
    <col min="10" max="33" width="3.625" style="1" customWidth="1"/>
    <col min="34" max="34" width="3.5" style="1" customWidth="1"/>
    <col min="35" max="36" width="3.625" style="1" customWidth="1"/>
    <col min="37" max="37" width="3" style="1" customWidth="1"/>
    <col min="38" max="38" width="3.25" style="1" customWidth="1"/>
    <col min="39" max="39" width="3.375" style="1" customWidth="1"/>
    <col min="40" max="46" width="3.625" style="1" customWidth="1"/>
    <col min="47" max="47" width="3.5" style="1" customWidth="1"/>
    <col min="48" max="49" width="3.5" style="3" customWidth="1"/>
    <col min="50" max="57" width="3.375" style="3" customWidth="1"/>
    <col min="58" max="16384" width="9" style="3"/>
  </cols>
  <sheetData>
    <row r="1" spans="1:57" ht="13.5" hidden="1" customHeight="1"/>
    <row r="2" spans="1:57" ht="13.5" hidden="1" customHeight="1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57" ht="13.5" hidden="1" customHeight="1"/>
    <row r="4" spans="1:57" ht="13.5" hidden="1" customHeight="1"/>
    <row r="5" spans="1:57" ht="13.5" hidden="1" customHeight="1"/>
    <row r="8" spans="1:57" ht="13.9" thickBot="1"/>
    <row r="9" spans="1:57" s="18" customFormat="1" ht="18.75" thickTop="1" thickBot="1">
      <c r="A9" s="17"/>
      <c r="B9" s="59" t="s">
        <v>0</v>
      </c>
      <c r="C9" s="66" t="s">
        <v>86</v>
      </c>
      <c r="D9" s="72">
        <f>D11</f>
        <v>45950</v>
      </c>
      <c r="E9" s="70"/>
      <c r="F9" s="72">
        <f>F11</f>
        <v>45964</v>
      </c>
      <c r="G9" s="70"/>
      <c r="H9" s="70"/>
      <c r="I9" s="73"/>
      <c r="J9" s="72">
        <f>J11</f>
        <v>45992</v>
      </c>
      <c r="K9" s="70"/>
      <c r="L9" s="70"/>
      <c r="M9" s="70"/>
      <c r="N9" s="70"/>
      <c r="O9" s="72">
        <f>O11</f>
        <v>46027</v>
      </c>
      <c r="P9" s="70"/>
      <c r="Q9" s="70"/>
      <c r="R9" s="73"/>
      <c r="S9" s="72">
        <f>S11</f>
        <v>46055</v>
      </c>
      <c r="T9" s="70"/>
      <c r="U9" s="70"/>
      <c r="V9" s="73"/>
      <c r="W9" s="72">
        <f>W11</f>
        <v>46083</v>
      </c>
      <c r="X9" s="70"/>
      <c r="Y9" s="70"/>
      <c r="Z9" s="70"/>
      <c r="AA9" s="70"/>
      <c r="AB9" s="72">
        <f>AB11</f>
        <v>46118</v>
      </c>
      <c r="AC9" s="70"/>
      <c r="AD9" s="70"/>
      <c r="AE9" s="73"/>
      <c r="AF9" s="72">
        <f>AF11</f>
        <v>46146</v>
      </c>
      <c r="AG9" s="70"/>
      <c r="AH9" s="70"/>
      <c r="AI9" s="73"/>
      <c r="AJ9" s="72">
        <f>AJ11</f>
        <v>46174</v>
      </c>
      <c r="AK9" s="70"/>
      <c r="AL9" s="70"/>
      <c r="AM9" s="70"/>
      <c r="AN9" s="70"/>
      <c r="AO9" s="72">
        <f>AO11</f>
        <v>46209</v>
      </c>
      <c r="AP9" s="70"/>
      <c r="AQ9" s="70"/>
      <c r="AR9" s="73"/>
      <c r="AS9" s="72">
        <f>AS11</f>
        <v>46237</v>
      </c>
      <c r="AT9" s="70"/>
      <c r="AU9" s="70"/>
      <c r="AV9" s="70"/>
      <c r="AW9" s="70"/>
      <c r="AX9" s="72">
        <f>AX11</f>
        <v>46272</v>
      </c>
      <c r="AY9" s="70"/>
      <c r="AZ9" s="70"/>
      <c r="BA9" s="73"/>
      <c r="BB9" s="70">
        <f>BB11</f>
        <v>46300</v>
      </c>
      <c r="BC9" s="70"/>
      <c r="BD9" s="70"/>
      <c r="BE9" s="71"/>
    </row>
    <row r="10" spans="1:57" s="22" customFormat="1" ht="8.85" customHeight="1" thickTop="1">
      <c r="A10" s="19"/>
      <c r="B10" s="20"/>
      <c r="C10" s="21"/>
    </row>
    <row r="11" spans="1:57" s="22" customFormat="1" ht="13.15">
      <c r="A11" s="19"/>
      <c r="B11" s="23" t="s">
        <v>1</v>
      </c>
      <c r="C11" s="24" t="s">
        <v>2</v>
      </c>
      <c r="D11" s="25">
        <v>45950</v>
      </c>
      <c r="E11" s="26">
        <f t="shared" ref="E11:H11" si="0">+D11+7</f>
        <v>45957</v>
      </c>
      <c r="F11" s="26">
        <f t="shared" si="0"/>
        <v>45964</v>
      </c>
      <c r="G11" s="26">
        <f t="shared" si="0"/>
        <v>45971</v>
      </c>
      <c r="H11" s="26">
        <f t="shared" si="0"/>
        <v>45978</v>
      </c>
      <c r="I11" s="26">
        <f t="shared" ref="I11:L11" si="1">H11+7</f>
        <v>45985</v>
      </c>
      <c r="J11" s="26">
        <f t="shared" si="1"/>
        <v>45992</v>
      </c>
      <c r="K11" s="26">
        <f t="shared" si="1"/>
        <v>45999</v>
      </c>
      <c r="L11" s="26">
        <f t="shared" si="1"/>
        <v>46006</v>
      </c>
      <c r="M11" s="26">
        <f>+L11+7</f>
        <v>46013</v>
      </c>
      <c r="N11" s="26">
        <f t="shared" ref="N11:Q11" si="2">+M11+7</f>
        <v>46020</v>
      </c>
      <c r="O11" s="26">
        <f t="shared" si="2"/>
        <v>46027</v>
      </c>
      <c r="P11" s="26">
        <f t="shared" si="2"/>
        <v>46034</v>
      </c>
      <c r="Q11" s="26">
        <f t="shared" si="2"/>
        <v>46041</v>
      </c>
      <c r="R11" s="26">
        <f>+Q11+7</f>
        <v>46048</v>
      </c>
      <c r="S11" s="26">
        <f t="shared" ref="S11:U11" si="3">R11+7</f>
        <v>46055</v>
      </c>
      <c r="T11" s="26">
        <f t="shared" si="3"/>
        <v>46062</v>
      </c>
      <c r="U11" s="26">
        <f t="shared" si="3"/>
        <v>46069</v>
      </c>
      <c r="V11" s="26">
        <f>+U11+7</f>
        <v>46076</v>
      </c>
      <c r="W11" s="26">
        <f t="shared" ref="W11:Z11" si="4">+V11+7</f>
        <v>46083</v>
      </c>
      <c r="X11" s="26">
        <f t="shared" si="4"/>
        <v>46090</v>
      </c>
      <c r="Y11" s="26">
        <f t="shared" si="4"/>
        <v>46097</v>
      </c>
      <c r="Z11" s="26">
        <f t="shared" si="4"/>
        <v>46104</v>
      </c>
      <c r="AA11" s="26">
        <f t="shared" ref="AA11:AH11" si="5">Z11+7</f>
        <v>46111</v>
      </c>
      <c r="AB11" s="26">
        <f t="shared" si="5"/>
        <v>46118</v>
      </c>
      <c r="AC11" s="26">
        <f t="shared" si="5"/>
        <v>46125</v>
      </c>
      <c r="AD11" s="26">
        <f t="shared" si="5"/>
        <v>46132</v>
      </c>
      <c r="AE11" s="26">
        <f t="shared" si="5"/>
        <v>46139</v>
      </c>
      <c r="AF11" s="26">
        <f t="shared" si="5"/>
        <v>46146</v>
      </c>
      <c r="AG11" s="26">
        <f t="shared" si="5"/>
        <v>46153</v>
      </c>
      <c r="AH11" s="26">
        <f t="shared" si="5"/>
        <v>46160</v>
      </c>
      <c r="AI11" s="26">
        <f>+AH11+7</f>
        <v>46167</v>
      </c>
      <c r="AJ11" s="26">
        <f t="shared" ref="AJ11:AM11" si="6">+AI11+7</f>
        <v>46174</v>
      </c>
      <c r="AK11" s="26">
        <f t="shared" si="6"/>
        <v>46181</v>
      </c>
      <c r="AL11" s="27">
        <f t="shared" si="6"/>
        <v>46188</v>
      </c>
      <c r="AM11" s="28">
        <f t="shared" si="6"/>
        <v>46195</v>
      </c>
      <c r="AN11" s="26">
        <f>+AM11+7</f>
        <v>46202</v>
      </c>
      <c r="AO11" s="26">
        <f t="shared" ref="AO11:AQ11" si="7">AN11+7</f>
        <v>46209</v>
      </c>
      <c r="AP11" s="26">
        <f t="shared" si="7"/>
        <v>46216</v>
      </c>
      <c r="AQ11" s="26">
        <f t="shared" si="7"/>
        <v>46223</v>
      </c>
      <c r="AR11" s="26">
        <f>+AQ11+7</f>
        <v>46230</v>
      </c>
      <c r="AS11" s="26">
        <f t="shared" ref="AS11:AV11" si="8">+AR11+7</f>
        <v>46237</v>
      </c>
      <c r="AT11" s="26">
        <f t="shared" si="8"/>
        <v>46244</v>
      </c>
      <c r="AU11" s="26">
        <f t="shared" si="8"/>
        <v>46251</v>
      </c>
      <c r="AV11" s="26">
        <f t="shared" si="8"/>
        <v>46258</v>
      </c>
      <c r="AW11" s="26">
        <f t="shared" ref="AW11:BE11" si="9">+AV11+7</f>
        <v>46265</v>
      </c>
      <c r="AX11" s="26">
        <f t="shared" si="9"/>
        <v>46272</v>
      </c>
      <c r="AY11" s="26">
        <f t="shared" si="9"/>
        <v>46279</v>
      </c>
      <c r="AZ11" s="26">
        <f t="shared" si="9"/>
        <v>46286</v>
      </c>
      <c r="BA11" s="26">
        <f t="shared" si="9"/>
        <v>46293</v>
      </c>
      <c r="BB11" s="26">
        <f t="shared" si="9"/>
        <v>46300</v>
      </c>
      <c r="BC11" s="26">
        <f t="shared" si="9"/>
        <v>46307</v>
      </c>
      <c r="BD11" s="26">
        <f t="shared" si="9"/>
        <v>46314</v>
      </c>
      <c r="BE11" s="26">
        <f t="shared" si="9"/>
        <v>46321</v>
      </c>
    </row>
    <row r="12" spans="1:57" s="65" customFormat="1" ht="13.5" customHeight="1" thickBot="1">
      <c r="A12" s="19"/>
      <c r="B12" s="60"/>
      <c r="C12" s="61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3"/>
      <c r="AM12" s="64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</row>
    <row r="13" spans="1:57" s="22" customFormat="1" ht="13.15">
      <c r="A13" s="19"/>
      <c r="B13" s="29" t="s">
        <v>3</v>
      </c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2"/>
    </row>
    <row r="14" spans="1:57" s="22" customFormat="1" ht="13.15">
      <c r="B14" s="33" t="s">
        <v>4</v>
      </c>
      <c r="C14" s="34" t="s">
        <v>5</v>
      </c>
      <c r="D14" s="35"/>
      <c r="E14" s="36"/>
      <c r="F14" s="35"/>
      <c r="G14" s="35"/>
      <c r="H14" s="35"/>
      <c r="I14" s="35"/>
      <c r="J14" s="36"/>
      <c r="K14" s="36"/>
      <c r="L14" s="36"/>
      <c r="M14" s="37"/>
      <c r="N14" s="37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7"/>
      <c r="AU14" s="37"/>
      <c r="AV14" s="37"/>
      <c r="AW14" s="37"/>
      <c r="AX14" s="35"/>
      <c r="AY14" s="35"/>
      <c r="AZ14" s="35"/>
      <c r="BA14" s="35"/>
      <c r="BB14" s="35"/>
      <c r="BC14" s="35"/>
      <c r="BD14" s="35"/>
      <c r="BE14" s="38"/>
    </row>
    <row r="15" spans="1:57" s="22" customFormat="1" ht="13.15">
      <c r="B15" s="33" t="s">
        <v>6</v>
      </c>
      <c r="C15" s="34" t="s">
        <v>7</v>
      </c>
      <c r="D15" s="35"/>
      <c r="E15" s="36"/>
      <c r="F15" s="36"/>
      <c r="G15" s="36"/>
      <c r="H15" s="36"/>
      <c r="I15" s="36"/>
      <c r="J15" s="36"/>
      <c r="K15" s="36"/>
      <c r="L15" s="36"/>
      <c r="M15" s="37"/>
      <c r="N15" s="37"/>
      <c r="O15" s="36"/>
      <c r="P15" s="36"/>
      <c r="Q15" s="36"/>
      <c r="R15" s="36"/>
      <c r="S15" s="36"/>
      <c r="T15" s="36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7"/>
      <c r="AU15" s="37"/>
      <c r="AV15" s="37"/>
      <c r="AW15" s="37"/>
      <c r="AX15" s="35"/>
      <c r="AY15" s="35"/>
      <c r="AZ15" s="35"/>
      <c r="BA15" s="35"/>
      <c r="BB15" s="35"/>
      <c r="BC15" s="35"/>
      <c r="BD15" s="35"/>
      <c r="BE15" s="38"/>
    </row>
    <row r="16" spans="1:57" s="22" customFormat="1" ht="13.15">
      <c r="B16" s="33" t="s">
        <v>8</v>
      </c>
      <c r="C16" s="34" t="s">
        <v>7</v>
      </c>
      <c r="D16" s="35"/>
      <c r="E16" s="36"/>
      <c r="F16" s="39"/>
      <c r="G16" s="39"/>
      <c r="H16" s="39"/>
      <c r="I16" s="39"/>
      <c r="J16" s="39"/>
      <c r="K16" s="39"/>
      <c r="L16" s="39"/>
      <c r="M16" s="37"/>
      <c r="N16" s="37"/>
      <c r="O16" s="39"/>
      <c r="P16" s="39"/>
      <c r="Q16" s="39"/>
      <c r="R16" s="39"/>
      <c r="S16" s="39"/>
      <c r="T16" s="40" t="s">
        <v>9</v>
      </c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7"/>
      <c r="AU16" s="37"/>
      <c r="AV16" s="37"/>
      <c r="AW16" s="37"/>
      <c r="AX16" s="35"/>
      <c r="AY16" s="35"/>
      <c r="AZ16" s="35"/>
      <c r="BA16" s="35"/>
      <c r="BB16" s="35"/>
      <c r="BC16" s="35"/>
      <c r="BD16" s="35"/>
      <c r="BE16" s="38"/>
    </row>
    <row r="17" spans="1:57" s="22" customFormat="1" ht="13.15">
      <c r="A17" s="19"/>
      <c r="B17" s="33" t="s">
        <v>10</v>
      </c>
      <c r="C17" s="34" t="s">
        <v>5</v>
      </c>
      <c r="D17" s="41"/>
      <c r="E17" s="41"/>
      <c r="F17" s="41"/>
      <c r="G17" s="35"/>
      <c r="H17" s="35"/>
      <c r="I17" s="35"/>
      <c r="J17" s="36"/>
      <c r="K17" s="36"/>
      <c r="L17" s="36"/>
      <c r="M17" s="37"/>
      <c r="N17" s="37"/>
      <c r="O17" s="36"/>
      <c r="P17" s="36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37"/>
      <c r="AU17" s="37"/>
      <c r="AV17" s="37"/>
      <c r="AW17" s="37"/>
      <c r="AX17" s="41"/>
      <c r="AY17" s="41"/>
      <c r="AZ17" s="41"/>
      <c r="BA17" s="41"/>
      <c r="BB17" s="41"/>
      <c r="BC17" s="41"/>
      <c r="BD17" s="41"/>
      <c r="BE17" s="42"/>
    </row>
    <row r="18" spans="1:57" s="22" customFormat="1" ht="12.75" customHeight="1">
      <c r="A18" s="19"/>
      <c r="B18" s="33" t="s">
        <v>11</v>
      </c>
      <c r="C18" s="34" t="s">
        <v>7</v>
      </c>
      <c r="D18" s="41"/>
      <c r="E18" s="41"/>
      <c r="F18" s="41"/>
      <c r="G18" s="41"/>
      <c r="H18" s="41"/>
      <c r="I18" s="41"/>
      <c r="J18" s="41"/>
      <c r="K18" s="41"/>
      <c r="L18" s="41"/>
      <c r="M18" s="37"/>
      <c r="N18" s="37"/>
      <c r="O18" s="41"/>
      <c r="P18" s="40" t="s">
        <v>9</v>
      </c>
      <c r="Q18" s="36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37"/>
      <c r="AU18" s="37"/>
      <c r="AV18" s="37"/>
      <c r="AW18" s="37"/>
      <c r="AX18" s="41"/>
      <c r="AY18" s="41"/>
      <c r="AZ18" s="41"/>
      <c r="BA18" s="41"/>
      <c r="BB18" s="41"/>
      <c r="BC18" s="41"/>
      <c r="BD18" s="41"/>
      <c r="BE18" s="42"/>
    </row>
    <row r="19" spans="1:57" s="22" customFormat="1" ht="14.25" customHeight="1">
      <c r="A19" s="19"/>
      <c r="B19" s="33" t="s">
        <v>77</v>
      </c>
      <c r="C19" s="34" t="s">
        <v>12</v>
      </c>
      <c r="D19" s="41"/>
      <c r="E19" s="41"/>
      <c r="F19" s="41"/>
      <c r="G19" s="36"/>
      <c r="H19" s="36"/>
      <c r="I19" s="36"/>
      <c r="J19" s="36"/>
      <c r="K19" s="36"/>
      <c r="L19" s="36"/>
      <c r="M19" s="37"/>
      <c r="N19" s="37"/>
      <c r="O19" s="36"/>
      <c r="P19" s="43" t="s">
        <v>9</v>
      </c>
      <c r="Q19" s="36"/>
      <c r="R19" s="36"/>
      <c r="S19" s="40"/>
      <c r="T19" s="40" t="s">
        <v>9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37"/>
      <c r="AU19" s="37"/>
      <c r="AV19" s="37"/>
      <c r="AW19" s="37"/>
      <c r="AX19" s="41"/>
      <c r="AY19" s="41"/>
      <c r="AZ19" s="41"/>
      <c r="BA19" s="41"/>
      <c r="BB19" s="41"/>
      <c r="BC19" s="41"/>
      <c r="BD19" s="41"/>
      <c r="BE19" s="42"/>
    </row>
    <row r="20" spans="1:57" s="22" customFormat="1" ht="14.25" customHeight="1">
      <c r="A20" s="19"/>
      <c r="B20" s="33" t="s">
        <v>76</v>
      </c>
      <c r="C20" s="34" t="s">
        <v>12</v>
      </c>
      <c r="D20" s="41"/>
      <c r="E20" s="41"/>
      <c r="F20" s="41"/>
      <c r="G20" s="36"/>
      <c r="H20" s="36"/>
      <c r="I20" s="36"/>
      <c r="J20" s="41"/>
      <c r="K20" s="41"/>
      <c r="L20" s="41"/>
      <c r="M20" s="37"/>
      <c r="N20" s="37"/>
      <c r="O20" s="41"/>
      <c r="P20" s="41"/>
      <c r="Q20" s="41"/>
      <c r="R20" s="36"/>
      <c r="S20" s="40"/>
      <c r="T20" s="40"/>
      <c r="U20" s="40" t="s">
        <v>9</v>
      </c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37"/>
      <c r="AU20" s="37"/>
      <c r="AV20" s="37"/>
      <c r="AW20" s="37"/>
      <c r="AX20" s="41"/>
      <c r="AY20" s="41"/>
      <c r="AZ20" s="41"/>
      <c r="BA20" s="41"/>
      <c r="BB20" s="41"/>
      <c r="BC20" s="41"/>
      <c r="BD20" s="41"/>
      <c r="BE20" s="42"/>
    </row>
    <row r="21" spans="1:57" s="22" customFormat="1" ht="13.35" customHeight="1">
      <c r="A21" s="19"/>
      <c r="B21" s="33" t="s">
        <v>13</v>
      </c>
      <c r="C21" s="34" t="s">
        <v>7</v>
      </c>
      <c r="D21" s="41"/>
      <c r="E21" s="41"/>
      <c r="F21" s="41"/>
      <c r="G21" s="41"/>
      <c r="H21" s="41"/>
      <c r="I21" s="36"/>
      <c r="J21" s="36"/>
      <c r="K21" s="36"/>
      <c r="L21" s="36"/>
      <c r="M21" s="37"/>
      <c r="N21" s="37"/>
      <c r="O21" s="36"/>
      <c r="P21" s="36"/>
      <c r="Q21" s="36"/>
      <c r="R21" s="36"/>
      <c r="S21" s="36"/>
      <c r="T21" s="36"/>
      <c r="U21" s="36"/>
      <c r="V21" s="40"/>
      <c r="W21" s="40" t="s">
        <v>9</v>
      </c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37"/>
      <c r="AU21" s="37"/>
      <c r="AV21" s="37"/>
      <c r="AW21" s="37"/>
      <c r="AX21" s="41"/>
      <c r="AY21" s="41"/>
      <c r="AZ21" s="41"/>
      <c r="BA21" s="41"/>
      <c r="BB21" s="41"/>
      <c r="BC21" s="41"/>
      <c r="BD21" s="41"/>
      <c r="BE21" s="42"/>
    </row>
    <row r="22" spans="1:57" s="22" customFormat="1" ht="13.35" customHeight="1">
      <c r="A22" s="19"/>
      <c r="B22" s="33" t="s">
        <v>78</v>
      </c>
      <c r="C22" s="34" t="s">
        <v>7</v>
      </c>
      <c r="D22" s="41"/>
      <c r="E22" s="41"/>
      <c r="F22" s="41"/>
      <c r="G22" s="41"/>
      <c r="H22" s="41"/>
      <c r="I22" s="36"/>
      <c r="J22" s="41"/>
      <c r="K22" s="41"/>
      <c r="L22" s="41"/>
      <c r="M22" s="37"/>
      <c r="N22" s="37"/>
      <c r="O22" s="41"/>
      <c r="P22" s="41"/>
      <c r="Q22" s="41"/>
      <c r="R22" s="41"/>
      <c r="S22" s="41"/>
      <c r="T22" s="41"/>
      <c r="U22" s="40"/>
      <c r="V22" s="40" t="s">
        <v>9</v>
      </c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37"/>
      <c r="AU22" s="37"/>
      <c r="AV22" s="37"/>
      <c r="AW22" s="37"/>
      <c r="AX22" s="41"/>
      <c r="AY22" s="41"/>
      <c r="AZ22" s="41"/>
      <c r="BA22" s="41"/>
      <c r="BB22" s="41"/>
      <c r="BC22" s="41"/>
      <c r="BD22" s="41"/>
      <c r="BE22" s="42"/>
    </row>
    <row r="23" spans="1:57" s="22" customFormat="1" ht="13.35" customHeight="1">
      <c r="A23" s="19"/>
      <c r="B23" s="33" t="s">
        <v>14</v>
      </c>
      <c r="C23" s="34" t="s">
        <v>5</v>
      </c>
      <c r="D23" s="41"/>
      <c r="E23" s="41"/>
      <c r="F23" s="41"/>
      <c r="G23" s="41"/>
      <c r="H23" s="41"/>
      <c r="I23" s="41"/>
      <c r="J23" s="41"/>
      <c r="K23" s="41"/>
      <c r="L23" s="41"/>
      <c r="M23" s="37"/>
      <c r="N23" s="37"/>
      <c r="O23" s="41"/>
      <c r="P23" s="41"/>
      <c r="Q23" s="41"/>
      <c r="R23" s="41"/>
      <c r="S23" s="41"/>
      <c r="T23" s="41"/>
      <c r="U23" s="41"/>
      <c r="V23" s="43" t="s">
        <v>9</v>
      </c>
      <c r="W23" s="40" t="s">
        <v>9</v>
      </c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37"/>
      <c r="AU23" s="37"/>
      <c r="AV23" s="37"/>
      <c r="AW23" s="37"/>
      <c r="AX23" s="41"/>
      <c r="AY23" s="41"/>
      <c r="AZ23" s="41"/>
      <c r="BA23" s="41"/>
      <c r="BB23" s="41"/>
      <c r="BC23" s="41"/>
      <c r="BD23" s="41"/>
      <c r="BE23" s="42"/>
    </row>
    <row r="24" spans="1:57" s="22" customFormat="1" ht="12" customHeight="1">
      <c r="A24" s="19"/>
      <c r="B24" s="33" t="s">
        <v>15</v>
      </c>
      <c r="C24" s="34" t="s">
        <v>5</v>
      </c>
      <c r="D24" s="44"/>
      <c r="E24" s="44"/>
      <c r="F24" s="44"/>
      <c r="G24" s="44"/>
      <c r="H24" s="44"/>
      <c r="I24" s="44"/>
      <c r="J24" s="44"/>
      <c r="K24" s="44"/>
      <c r="L24" s="44"/>
      <c r="M24" s="37"/>
      <c r="N24" s="37"/>
      <c r="O24" s="44"/>
      <c r="P24" s="44"/>
      <c r="Q24" s="44"/>
      <c r="R24" s="44"/>
      <c r="S24" s="44"/>
      <c r="T24" s="44"/>
      <c r="U24" s="44"/>
      <c r="V24" s="40"/>
      <c r="W24" s="40" t="s">
        <v>9</v>
      </c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37"/>
      <c r="AU24" s="37"/>
      <c r="AV24" s="37"/>
      <c r="AW24" s="37"/>
      <c r="AX24" s="44"/>
      <c r="AY24" s="44"/>
      <c r="AZ24" s="44"/>
      <c r="BA24" s="44"/>
      <c r="BB24" s="44"/>
      <c r="BC24" s="44"/>
      <c r="BD24" s="44"/>
      <c r="BE24" s="45"/>
    </row>
    <row r="25" spans="1:57" s="22" customFormat="1" ht="13.15">
      <c r="A25" s="19"/>
      <c r="B25" s="46" t="s">
        <v>16</v>
      </c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9"/>
    </row>
    <row r="26" spans="1:57" s="22" customFormat="1" ht="13.15">
      <c r="A26" s="19"/>
      <c r="B26" s="33" t="s">
        <v>17</v>
      </c>
      <c r="C26" s="34" t="s">
        <v>5</v>
      </c>
      <c r="D26" s="44"/>
      <c r="E26" s="44"/>
      <c r="F26" s="44"/>
      <c r="G26" s="44"/>
      <c r="H26" s="44"/>
      <c r="I26" s="44"/>
      <c r="J26" s="44"/>
      <c r="K26" s="44"/>
      <c r="L26" s="44"/>
      <c r="M26" s="37"/>
      <c r="N26" s="37"/>
      <c r="O26" s="44"/>
      <c r="P26" s="44"/>
      <c r="Q26" s="44"/>
      <c r="R26" s="44"/>
      <c r="S26" s="44"/>
      <c r="T26" s="44"/>
      <c r="U26" s="44"/>
      <c r="V26" s="44"/>
      <c r="W26" s="44"/>
      <c r="X26" s="43" t="s">
        <v>9</v>
      </c>
      <c r="Y26" s="36"/>
      <c r="Z26" s="40" t="s">
        <v>9</v>
      </c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37"/>
      <c r="AU26" s="37"/>
      <c r="AV26" s="37"/>
      <c r="AW26" s="37"/>
      <c r="AX26" s="44"/>
      <c r="AY26" s="44"/>
      <c r="AZ26" s="44"/>
      <c r="BA26" s="44"/>
      <c r="BB26" s="44"/>
      <c r="BC26" s="44"/>
      <c r="BD26" s="44"/>
      <c r="BE26" s="45"/>
    </row>
    <row r="27" spans="1:57" s="22" customFormat="1" ht="13.15">
      <c r="A27" s="19"/>
      <c r="B27" s="33" t="s">
        <v>18</v>
      </c>
      <c r="C27" s="34" t="s">
        <v>19</v>
      </c>
      <c r="D27" s="44"/>
      <c r="E27" s="44"/>
      <c r="F27" s="44"/>
      <c r="G27" s="44"/>
      <c r="H27" s="44"/>
      <c r="I27" s="44"/>
      <c r="J27" s="44"/>
      <c r="K27" s="44"/>
      <c r="L27" s="44"/>
      <c r="M27" s="37"/>
      <c r="N27" s="37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36"/>
      <c r="Z27" s="36"/>
      <c r="AA27" s="36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37"/>
      <c r="AU27" s="37"/>
      <c r="AV27" s="37"/>
      <c r="AW27" s="37"/>
      <c r="AX27" s="44"/>
      <c r="AY27" s="44"/>
      <c r="AZ27" s="44"/>
      <c r="BA27" s="44"/>
      <c r="BB27" s="44"/>
      <c r="BC27" s="44"/>
      <c r="BD27" s="44"/>
      <c r="BE27" s="45"/>
    </row>
    <row r="28" spans="1:57" s="22" customFormat="1" ht="13.15">
      <c r="A28" s="19"/>
      <c r="B28" s="33" t="s">
        <v>20</v>
      </c>
      <c r="C28" s="34" t="s">
        <v>5</v>
      </c>
      <c r="D28" s="44"/>
      <c r="E28" s="44"/>
      <c r="F28" s="44"/>
      <c r="G28" s="44"/>
      <c r="H28" s="44"/>
      <c r="I28" s="44"/>
      <c r="J28" s="44"/>
      <c r="K28" s="44"/>
      <c r="L28" s="44"/>
      <c r="M28" s="37"/>
      <c r="N28" s="37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3"/>
      <c r="AB28" s="40" t="s">
        <v>9</v>
      </c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37"/>
      <c r="AU28" s="37"/>
      <c r="AV28" s="37"/>
      <c r="AW28" s="37"/>
      <c r="AX28" s="44"/>
      <c r="AY28" s="44"/>
      <c r="AZ28" s="44"/>
      <c r="BA28" s="44"/>
      <c r="BB28" s="44"/>
      <c r="BC28" s="44"/>
      <c r="BD28" s="44"/>
      <c r="BE28" s="45"/>
    </row>
    <row r="29" spans="1:57" s="22" customFormat="1" ht="13.5" customHeight="1">
      <c r="A29" s="19"/>
      <c r="B29" s="33" t="s">
        <v>21</v>
      </c>
      <c r="C29" s="34" t="s">
        <v>22</v>
      </c>
      <c r="D29" s="44"/>
      <c r="E29" s="44"/>
      <c r="F29" s="44"/>
      <c r="G29" s="44"/>
      <c r="H29" s="44"/>
      <c r="I29" s="44"/>
      <c r="J29" s="44"/>
      <c r="K29" s="44"/>
      <c r="L29" s="44"/>
      <c r="M29" s="37"/>
      <c r="N29" s="37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3"/>
      <c r="AC29" s="36"/>
      <c r="AD29" s="40" t="s">
        <v>9</v>
      </c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37"/>
      <c r="AU29" s="37"/>
      <c r="AV29" s="37"/>
      <c r="AW29" s="37"/>
      <c r="AX29" s="44"/>
      <c r="AY29" s="44"/>
      <c r="AZ29" s="44"/>
      <c r="BA29" s="44"/>
      <c r="BB29" s="44"/>
      <c r="BC29" s="44"/>
      <c r="BD29" s="44"/>
      <c r="BE29" s="45"/>
    </row>
    <row r="30" spans="1:57" s="22" customFormat="1" ht="13.5" customHeight="1">
      <c r="A30" s="19"/>
      <c r="B30" s="33" t="s">
        <v>73</v>
      </c>
      <c r="C30" s="34" t="s">
        <v>23</v>
      </c>
      <c r="D30" s="44"/>
      <c r="E30" s="44"/>
      <c r="F30" s="44"/>
      <c r="G30" s="44"/>
      <c r="H30" s="44"/>
      <c r="I30" s="44"/>
      <c r="J30" s="44"/>
      <c r="K30" s="44"/>
      <c r="L30" s="44"/>
      <c r="M30" s="37"/>
      <c r="N30" s="37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36"/>
      <c r="AC30" s="36"/>
      <c r="AD30" s="36"/>
      <c r="AE30" s="40"/>
      <c r="AF30" s="40" t="s">
        <v>9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37"/>
      <c r="AU30" s="37"/>
      <c r="AV30" s="37"/>
      <c r="AW30" s="37"/>
      <c r="AX30" s="44"/>
      <c r="AY30" s="44"/>
      <c r="AZ30" s="44"/>
      <c r="BA30" s="44"/>
      <c r="BB30" s="44"/>
      <c r="BC30" s="44"/>
      <c r="BD30" s="44"/>
      <c r="BE30" s="45"/>
    </row>
    <row r="31" spans="1:57" s="22" customFormat="1" ht="13.5" customHeight="1">
      <c r="A31" s="19"/>
      <c r="B31" s="33" t="s">
        <v>24</v>
      </c>
      <c r="C31" s="34" t="s">
        <v>22</v>
      </c>
      <c r="D31" s="44"/>
      <c r="E31" s="44"/>
      <c r="F31" s="44"/>
      <c r="G31" s="44"/>
      <c r="H31" s="44"/>
      <c r="I31" s="44"/>
      <c r="J31" s="44"/>
      <c r="K31" s="44"/>
      <c r="L31" s="44"/>
      <c r="M31" s="37"/>
      <c r="N31" s="37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3"/>
      <c r="AD31" s="40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37"/>
      <c r="AU31" s="37"/>
      <c r="AV31" s="37"/>
      <c r="AW31" s="37"/>
      <c r="AX31" s="44"/>
      <c r="AY31" s="44"/>
      <c r="AZ31" s="44"/>
      <c r="BA31" s="44"/>
      <c r="BB31" s="44"/>
      <c r="BC31" s="44"/>
      <c r="BD31" s="44"/>
      <c r="BE31" s="45"/>
    </row>
    <row r="32" spans="1:57" s="22" customFormat="1" ht="13.15">
      <c r="A32" s="19"/>
      <c r="B32" s="33" t="s">
        <v>25</v>
      </c>
      <c r="C32" s="34" t="s">
        <v>5</v>
      </c>
      <c r="D32" s="44"/>
      <c r="E32" s="44"/>
      <c r="F32" s="44"/>
      <c r="G32" s="44"/>
      <c r="H32" s="44"/>
      <c r="I32" s="44"/>
      <c r="J32" s="44"/>
      <c r="K32" s="44"/>
      <c r="L32" s="44"/>
      <c r="M32" s="37"/>
      <c r="N32" s="37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0" t="s">
        <v>9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37"/>
      <c r="AU32" s="37"/>
      <c r="AV32" s="37"/>
      <c r="AW32" s="37"/>
      <c r="AX32" s="44"/>
      <c r="AY32" s="44"/>
      <c r="AZ32" s="44"/>
      <c r="BA32" s="44"/>
      <c r="BB32" s="44"/>
      <c r="BC32" s="44"/>
      <c r="BD32" s="44"/>
      <c r="BE32" s="45"/>
    </row>
    <row r="33" spans="1:57" s="22" customFormat="1" ht="13.15">
      <c r="A33" s="19"/>
      <c r="B33" s="33" t="s">
        <v>26</v>
      </c>
      <c r="C33" s="34" t="s">
        <v>7</v>
      </c>
      <c r="D33" s="44"/>
      <c r="E33" s="44"/>
      <c r="F33" s="44"/>
      <c r="G33" s="44"/>
      <c r="H33" s="44"/>
      <c r="I33" s="44"/>
      <c r="J33" s="44"/>
      <c r="K33" s="44"/>
      <c r="L33" s="44"/>
      <c r="M33" s="37"/>
      <c r="N33" s="37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36"/>
      <c r="AG33" s="36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37"/>
      <c r="AU33" s="37"/>
      <c r="AV33" s="37"/>
      <c r="AW33" s="37"/>
      <c r="AX33" s="44"/>
      <c r="AY33" s="44"/>
      <c r="AZ33" s="44"/>
      <c r="BA33" s="44"/>
      <c r="BB33" s="44"/>
      <c r="BC33" s="44"/>
      <c r="BD33" s="44"/>
      <c r="BE33" s="45"/>
    </row>
    <row r="34" spans="1:57" s="22" customFormat="1" ht="13.15">
      <c r="A34" s="19"/>
      <c r="B34" s="33" t="s">
        <v>27</v>
      </c>
      <c r="C34" s="34" t="s">
        <v>7</v>
      </c>
      <c r="D34" s="50"/>
      <c r="E34" s="50"/>
      <c r="F34" s="50"/>
      <c r="G34" s="50"/>
      <c r="H34" s="50"/>
      <c r="I34" s="50"/>
      <c r="J34" s="50"/>
      <c r="K34" s="50"/>
      <c r="L34" s="50"/>
      <c r="M34" s="37"/>
      <c r="N34" s="37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44"/>
      <c r="AH34" s="43" t="s">
        <v>9</v>
      </c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37"/>
      <c r="AU34" s="37"/>
      <c r="AV34" s="37"/>
      <c r="AW34" s="37"/>
      <c r="AX34" s="50"/>
      <c r="AY34" s="50"/>
      <c r="AZ34" s="50"/>
      <c r="BA34" s="50"/>
      <c r="BB34" s="50"/>
      <c r="BC34" s="50"/>
      <c r="BD34" s="50"/>
      <c r="BE34" s="51"/>
    </row>
    <row r="35" spans="1:57" s="22" customFormat="1" ht="13.15">
      <c r="A35" s="19"/>
      <c r="B35" s="46" t="s">
        <v>81</v>
      </c>
      <c r="C35" s="47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9"/>
    </row>
    <row r="36" spans="1:57" s="22" customFormat="1" ht="13.15">
      <c r="A36" s="19"/>
      <c r="B36" s="33" t="s">
        <v>28</v>
      </c>
      <c r="C36" s="34" t="s">
        <v>5</v>
      </c>
      <c r="D36" s="44"/>
      <c r="E36" s="44"/>
      <c r="F36" s="44"/>
      <c r="G36" s="44"/>
      <c r="H36" s="44"/>
      <c r="I36" s="44"/>
      <c r="J36" s="44"/>
      <c r="K36" s="44"/>
      <c r="L36" s="44"/>
      <c r="M36" s="37"/>
      <c r="N36" s="37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36"/>
      <c r="AI36" s="40" t="s">
        <v>9</v>
      </c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37"/>
      <c r="AU36" s="37"/>
      <c r="AV36" s="37"/>
      <c r="AW36" s="37"/>
      <c r="AX36" s="44"/>
      <c r="AY36" s="44"/>
      <c r="AZ36" s="44"/>
      <c r="BA36" s="44"/>
      <c r="BB36" s="44"/>
      <c r="BC36" s="44"/>
      <c r="BD36" s="44"/>
      <c r="BE36" s="45"/>
    </row>
    <row r="37" spans="1:57" s="22" customFormat="1" ht="12.4" customHeight="1">
      <c r="A37" s="19"/>
      <c r="B37" s="33" t="s">
        <v>31</v>
      </c>
      <c r="C37" s="34" t="s">
        <v>7</v>
      </c>
      <c r="D37" s="44"/>
      <c r="E37" s="44"/>
      <c r="F37" s="44"/>
      <c r="G37" s="44"/>
      <c r="H37" s="44"/>
      <c r="I37" s="44"/>
      <c r="J37" s="44"/>
      <c r="K37" s="44"/>
      <c r="L37" s="44"/>
      <c r="M37" s="37"/>
      <c r="N37" s="37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3" t="s">
        <v>9</v>
      </c>
      <c r="AG37" s="36"/>
      <c r="AH37" s="36"/>
      <c r="AI37" s="36"/>
      <c r="AJ37" s="36"/>
      <c r="AK37" s="40" t="s">
        <v>9</v>
      </c>
      <c r="AL37" s="44"/>
      <c r="AM37" s="44"/>
      <c r="AN37" s="44"/>
      <c r="AO37" s="44"/>
      <c r="AP37" s="44"/>
      <c r="AQ37" s="44"/>
      <c r="AR37" s="44"/>
      <c r="AS37" s="44"/>
      <c r="AT37" s="37"/>
      <c r="AU37" s="37"/>
      <c r="AV37" s="37"/>
      <c r="AW37" s="37"/>
      <c r="AX37" s="44"/>
      <c r="AY37" s="44"/>
      <c r="AZ37" s="44"/>
      <c r="BA37" s="44"/>
      <c r="BB37" s="44"/>
      <c r="BC37" s="44"/>
      <c r="BD37" s="44"/>
      <c r="BE37" s="45"/>
    </row>
    <row r="38" spans="1:57" s="22" customFormat="1" ht="12.4" customHeight="1">
      <c r="A38" s="19"/>
      <c r="B38" s="33" t="s">
        <v>32</v>
      </c>
      <c r="C38" s="34" t="s">
        <v>22</v>
      </c>
      <c r="D38" s="44"/>
      <c r="E38" s="44"/>
      <c r="F38" s="44"/>
      <c r="G38" s="44"/>
      <c r="H38" s="44"/>
      <c r="I38" s="44"/>
      <c r="J38" s="44"/>
      <c r="K38" s="44"/>
      <c r="L38" s="44"/>
      <c r="M38" s="37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3" t="s">
        <v>9</v>
      </c>
      <c r="AL38" s="40" t="s">
        <v>9</v>
      </c>
      <c r="AM38" s="44"/>
      <c r="AN38" s="44"/>
      <c r="AO38" s="44"/>
      <c r="AP38" s="44"/>
      <c r="AQ38" s="44"/>
      <c r="AR38" s="44"/>
      <c r="AS38" s="44"/>
      <c r="AT38" s="37"/>
      <c r="AU38" s="37"/>
      <c r="AV38" s="37"/>
      <c r="AW38" s="37"/>
      <c r="AX38" s="44"/>
      <c r="AY38" s="44"/>
      <c r="AZ38" s="44"/>
      <c r="BA38" s="44"/>
      <c r="BB38" s="44"/>
      <c r="BC38" s="44"/>
      <c r="BD38" s="44"/>
      <c r="BE38" s="45"/>
    </row>
    <row r="39" spans="1:57" s="22" customFormat="1" ht="13.15">
      <c r="A39" s="19"/>
      <c r="B39" s="33" t="s">
        <v>79</v>
      </c>
      <c r="C39" s="34" t="s">
        <v>5</v>
      </c>
      <c r="D39" s="50"/>
      <c r="E39" s="50"/>
      <c r="F39" s="50"/>
      <c r="G39" s="50"/>
      <c r="H39" s="50"/>
      <c r="I39" s="50"/>
      <c r="J39" s="50"/>
      <c r="K39" s="50"/>
      <c r="L39" s="50"/>
      <c r="M39" s="37"/>
      <c r="N39" s="37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44"/>
      <c r="AI39" s="44"/>
      <c r="AJ39" s="50"/>
      <c r="AK39" s="50"/>
      <c r="AL39" s="50"/>
      <c r="AM39" s="50"/>
      <c r="AN39" s="40" t="s">
        <v>9</v>
      </c>
      <c r="AO39" s="50"/>
      <c r="AP39" s="50"/>
      <c r="AQ39" s="50"/>
      <c r="AR39" s="50"/>
      <c r="AS39" s="50"/>
      <c r="AT39" s="37"/>
      <c r="AU39" s="37"/>
      <c r="AV39" s="37"/>
      <c r="AW39" s="37"/>
      <c r="AX39" s="50"/>
      <c r="AY39" s="50"/>
      <c r="AZ39" s="50"/>
      <c r="BA39" s="50"/>
      <c r="BB39" s="50"/>
      <c r="BC39" s="50"/>
      <c r="BD39" s="50"/>
      <c r="BE39" s="51"/>
    </row>
    <row r="40" spans="1:57" s="22" customFormat="1" ht="13.15">
      <c r="A40" s="19"/>
      <c r="B40" s="33" t="s">
        <v>80</v>
      </c>
      <c r="C40" s="34" t="s">
        <v>7</v>
      </c>
      <c r="D40" s="50"/>
      <c r="E40" s="50"/>
      <c r="F40" s="50"/>
      <c r="G40" s="50"/>
      <c r="H40" s="50"/>
      <c r="I40" s="50"/>
      <c r="J40" s="50"/>
      <c r="K40" s="50"/>
      <c r="L40" s="50"/>
      <c r="M40" s="37"/>
      <c r="N40" s="37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44"/>
      <c r="AI40" s="44"/>
      <c r="AJ40" s="50"/>
      <c r="AK40" s="50"/>
      <c r="AL40" s="50"/>
      <c r="AM40" s="50"/>
      <c r="AN40" s="40"/>
      <c r="AO40" s="40" t="s">
        <v>9</v>
      </c>
      <c r="AP40" s="50"/>
      <c r="AQ40" s="50"/>
      <c r="AR40" s="50"/>
      <c r="AS40" s="50"/>
      <c r="AT40" s="37"/>
      <c r="AU40" s="37"/>
      <c r="AV40" s="37"/>
      <c r="AW40" s="37"/>
      <c r="AX40" s="50"/>
      <c r="AY40" s="50"/>
      <c r="AZ40" s="50"/>
      <c r="BA40" s="50"/>
      <c r="BB40" s="50"/>
      <c r="BC40" s="50"/>
      <c r="BD40" s="50"/>
      <c r="BE40" s="51"/>
    </row>
    <row r="41" spans="1:57" s="22" customFormat="1" ht="13.15">
      <c r="A41" s="19"/>
      <c r="B41" s="46" t="s">
        <v>83</v>
      </c>
      <c r="C41" s="4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9"/>
    </row>
    <row r="42" spans="1:57" s="22" customFormat="1" ht="13.15">
      <c r="A42" s="19"/>
      <c r="B42" s="33" t="s">
        <v>82</v>
      </c>
      <c r="C42" s="34" t="s">
        <v>5</v>
      </c>
      <c r="D42" s="44"/>
      <c r="E42" s="44"/>
      <c r="F42" s="44"/>
      <c r="G42" s="44"/>
      <c r="H42" s="44"/>
      <c r="I42" s="44"/>
      <c r="J42" s="44"/>
      <c r="K42" s="44"/>
      <c r="L42" s="44"/>
      <c r="M42" s="37"/>
      <c r="N42" s="37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0" t="s">
        <v>9</v>
      </c>
      <c r="AP42" s="44"/>
      <c r="AQ42" s="44"/>
      <c r="AR42" s="44"/>
      <c r="AS42" s="44"/>
      <c r="AT42" s="37"/>
      <c r="AU42" s="37"/>
      <c r="AV42" s="37"/>
      <c r="AW42" s="37"/>
      <c r="AX42" s="44"/>
      <c r="AY42" s="44"/>
      <c r="AZ42" s="44"/>
      <c r="BA42" s="44"/>
      <c r="BB42" s="44"/>
      <c r="BC42" s="44"/>
      <c r="BD42" s="44"/>
      <c r="BE42" s="45"/>
    </row>
    <row r="43" spans="1:57" s="22" customFormat="1" ht="12.4" customHeight="1">
      <c r="A43" s="19"/>
      <c r="B43" s="33" t="s">
        <v>84</v>
      </c>
      <c r="C43" s="34" t="s">
        <v>19</v>
      </c>
      <c r="D43" s="44"/>
      <c r="E43" s="44"/>
      <c r="F43" s="44"/>
      <c r="G43" s="44"/>
      <c r="H43" s="44"/>
      <c r="I43" s="44"/>
      <c r="J43" s="44"/>
      <c r="K43" s="44"/>
      <c r="L43" s="44"/>
      <c r="M43" s="37"/>
      <c r="N43" s="37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3" t="s">
        <v>9</v>
      </c>
      <c r="AQ43" s="36"/>
      <c r="AR43" s="40" t="s">
        <v>9</v>
      </c>
      <c r="AS43" s="44"/>
      <c r="AT43" s="37"/>
      <c r="AU43" s="37"/>
      <c r="AV43" s="37"/>
      <c r="AW43" s="37"/>
      <c r="AX43" s="44"/>
      <c r="AY43" s="44"/>
      <c r="AZ43" s="44"/>
      <c r="BA43" s="44"/>
      <c r="BB43" s="44"/>
      <c r="BC43" s="44"/>
      <c r="BD43" s="44"/>
      <c r="BE43" s="45"/>
    </row>
    <row r="44" spans="1:57" s="22" customFormat="1" ht="13.15">
      <c r="A44" s="19"/>
      <c r="B44" s="33" t="s">
        <v>70</v>
      </c>
      <c r="C44" s="34" t="s">
        <v>23</v>
      </c>
      <c r="D44" s="44"/>
      <c r="E44" s="44"/>
      <c r="F44" s="44"/>
      <c r="G44" s="44"/>
      <c r="H44" s="44"/>
      <c r="I44" s="44"/>
      <c r="J44" s="44"/>
      <c r="K44" s="44"/>
      <c r="L44" s="44"/>
      <c r="M44" s="37"/>
      <c r="N44" s="37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3" t="s">
        <v>9</v>
      </c>
      <c r="AQ44" s="36"/>
      <c r="AR44" s="36"/>
      <c r="AS44" s="36"/>
      <c r="AT44" s="36"/>
      <c r="AU44" s="36"/>
      <c r="AV44" s="36"/>
      <c r="AW44" s="36"/>
      <c r="AX44" s="36"/>
      <c r="AY44" s="44"/>
      <c r="AZ44" s="44"/>
      <c r="BA44" s="44"/>
      <c r="BB44" s="44"/>
      <c r="BC44" s="44"/>
      <c r="BD44" s="44"/>
      <c r="BE44" s="45"/>
    </row>
    <row r="45" spans="1:57" s="22" customFormat="1" ht="13.15">
      <c r="A45" s="19"/>
      <c r="B45" s="33" t="s">
        <v>29</v>
      </c>
      <c r="C45" s="34" t="s">
        <v>30</v>
      </c>
      <c r="D45" s="44"/>
      <c r="E45" s="44"/>
      <c r="F45" s="44"/>
      <c r="G45" s="44"/>
      <c r="H45" s="44"/>
      <c r="I45" s="44"/>
      <c r="J45" s="44"/>
      <c r="K45" s="44"/>
      <c r="L45" s="44"/>
      <c r="M45" s="37"/>
      <c r="N45" s="37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36"/>
      <c r="AR45" s="36"/>
      <c r="AS45" s="36"/>
      <c r="AT45" s="37"/>
      <c r="AU45" s="37"/>
      <c r="AV45" s="37"/>
      <c r="AW45" s="37"/>
      <c r="AX45" s="44"/>
      <c r="AY45" s="44"/>
      <c r="AZ45" s="44"/>
      <c r="BA45" s="44"/>
      <c r="BB45" s="44"/>
      <c r="BC45" s="44"/>
      <c r="BD45" s="44"/>
      <c r="BE45" s="45"/>
    </row>
    <row r="46" spans="1:57" s="22" customFormat="1" ht="13.15">
      <c r="A46" s="19"/>
      <c r="B46" s="33" t="s">
        <v>33</v>
      </c>
      <c r="C46" s="34" t="s">
        <v>34</v>
      </c>
      <c r="D46" s="44"/>
      <c r="E46" s="44"/>
      <c r="F46" s="44"/>
      <c r="G46" s="44"/>
      <c r="H46" s="44"/>
      <c r="I46" s="44"/>
      <c r="J46" s="44"/>
      <c r="K46" s="44"/>
      <c r="L46" s="44"/>
      <c r="M46" s="37"/>
      <c r="N46" s="37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3" t="s">
        <v>9</v>
      </c>
      <c r="AR46" s="40" t="s">
        <v>9</v>
      </c>
      <c r="AS46" s="44"/>
      <c r="AT46" s="37"/>
      <c r="AU46" s="37"/>
      <c r="AV46" s="37"/>
      <c r="AW46" s="37"/>
      <c r="AX46" s="44"/>
      <c r="AY46" s="44"/>
      <c r="AZ46" s="44"/>
      <c r="BA46" s="44"/>
      <c r="BB46" s="44"/>
      <c r="BC46" s="44"/>
      <c r="BD46" s="44"/>
      <c r="BE46" s="45"/>
    </row>
    <row r="47" spans="1:57" s="22" customFormat="1" ht="13.15">
      <c r="A47" s="19"/>
      <c r="B47" s="33" t="s">
        <v>74</v>
      </c>
      <c r="C47" s="34" t="s">
        <v>75</v>
      </c>
      <c r="D47" s="44"/>
      <c r="E47" s="44"/>
      <c r="F47" s="44"/>
      <c r="G47" s="44"/>
      <c r="H47" s="44"/>
      <c r="I47" s="44"/>
      <c r="J47" s="44"/>
      <c r="K47" s="44"/>
      <c r="L47" s="44"/>
      <c r="M47" s="37"/>
      <c r="N47" s="37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37"/>
      <c r="AU47" s="37"/>
      <c r="AV47" s="37"/>
      <c r="AW47" s="37"/>
      <c r="AX47" s="44"/>
      <c r="AY47" s="43" t="s">
        <v>9</v>
      </c>
      <c r="AZ47" s="44"/>
      <c r="BA47" s="44"/>
      <c r="BB47" s="44"/>
      <c r="BC47" s="44"/>
      <c r="BD47" s="44"/>
      <c r="BE47" s="45"/>
    </row>
    <row r="48" spans="1:57" s="22" customFormat="1" ht="13.15">
      <c r="A48" s="19"/>
      <c r="B48" s="33" t="s">
        <v>71</v>
      </c>
      <c r="C48" s="34" t="s">
        <v>7</v>
      </c>
      <c r="D48" s="44"/>
      <c r="E48" s="44"/>
      <c r="F48" s="44"/>
      <c r="G48" s="44"/>
      <c r="H48" s="44"/>
      <c r="I48" s="44"/>
      <c r="J48" s="44"/>
      <c r="K48" s="44"/>
      <c r="L48" s="44"/>
      <c r="M48" s="37"/>
      <c r="N48" s="37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37"/>
      <c r="AU48" s="37"/>
      <c r="AV48" s="37"/>
      <c r="AW48" s="37"/>
      <c r="AX48" s="44"/>
      <c r="AY48" s="36"/>
      <c r="AZ48" s="36"/>
      <c r="BA48" s="44"/>
      <c r="BB48" s="44"/>
      <c r="BC48" s="44"/>
      <c r="BD48" s="44"/>
      <c r="BE48" s="45"/>
    </row>
    <row r="49" spans="1:57" s="22" customFormat="1" ht="13.15">
      <c r="A49" s="19"/>
      <c r="B49" s="46" t="s">
        <v>85</v>
      </c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9"/>
    </row>
    <row r="50" spans="1:57" s="22" customFormat="1" ht="13.15">
      <c r="A50" s="19"/>
      <c r="B50" s="33" t="s">
        <v>72</v>
      </c>
      <c r="C50" s="34" t="s">
        <v>35</v>
      </c>
      <c r="D50" s="44"/>
      <c r="E50" s="44"/>
      <c r="F50" s="44"/>
      <c r="G50" s="44"/>
      <c r="H50" s="44"/>
      <c r="I50" s="44"/>
      <c r="J50" s="44"/>
      <c r="K50" s="44"/>
      <c r="L50" s="44"/>
      <c r="M50" s="37"/>
      <c r="N50" s="37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37"/>
      <c r="AU50" s="37"/>
      <c r="AV50" s="37"/>
      <c r="AW50" s="37"/>
      <c r="AX50" s="44"/>
      <c r="AY50" s="44"/>
      <c r="AZ50" s="44"/>
      <c r="BA50" s="36"/>
      <c r="BB50" s="36"/>
      <c r="BC50" s="43" t="s">
        <v>9</v>
      </c>
      <c r="BD50" s="44"/>
      <c r="BE50" s="45"/>
    </row>
    <row r="51" spans="1:57" s="22" customFormat="1" ht="13.15">
      <c r="A51" s="19"/>
      <c r="B51" s="33" t="s">
        <v>36</v>
      </c>
      <c r="C51" s="34" t="s">
        <v>34</v>
      </c>
      <c r="D51" s="44"/>
      <c r="E51" s="44"/>
      <c r="F51" s="44"/>
      <c r="G51" s="44"/>
      <c r="H51" s="44"/>
      <c r="I51" s="44"/>
      <c r="J51" s="44"/>
      <c r="K51" s="44"/>
      <c r="L51" s="44"/>
      <c r="M51" s="37"/>
      <c r="N51" s="37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37"/>
      <c r="AU51" s="37"/>
      <c r="AV51" s="37"/>
      <c r="AW51" s="37"/>
      <c r="AX51" s="44"/>
      <c r="AY51" s="44"/>
      <c r="AZ51" s="44"/>
      <c r="BA51" s="44"/>
      <c r="BB51" s="44"/>
      <c r="BC51" s="36"/>
      <c r="BD51" s="36"/>
      <c r="BE51" s="45"/>
    </row>
    <row r="52" spans="1:57" s="22" customFormat="1" ht="13.15">
      <c r="A52" s="19"/>
      <c r="B52" s="33" t="s">
        <v>37</v>
      </c>
      <c r="C52" s="34" t="s">
        <v>38</v>
      </c>
      <c r="D52" s="44"/>
      <c r="E52" s="44"/>
      <c r="F52" s="44"/>
      <c r="G52" s="44"/>
      <c r="H52" s="44"/>
      <c r="I52" s="44"/>
      <c r="J52" s="44"/>
      <c r="K52" s="44"/>
      <c r="L52" s="44"/>
      <c r="M52" s="37"/>
      <c r="N52" s="37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37"/>
      <c r="AU52" s="37"/>
      <c r="AV52" s="37"/>
      <c r="AW52" s="37"/>
      <c r="AX52" s="44"/>
      <c r="AY52" s="44"/>
      <c r="AZ52" s="44"/>
      <c r="BA52" s="44"/>
      <c r="BB52" s="44"/>
      <c r="BC52" s="44"/>
      <c r="BD52" s="44"/>
      <c r="BE52" s="40" t="s">
        <v>9</v>
      </c>
    </row>
    <row r="53" spans="1:57" s="55" customFormat="1" ht="14.65" thickBot="1">
      <c r="A53" s="52"/>
      <c r="B53" s="67"/>
      <c r="C53" s="68"/>
      <c r="D53" s="53"/>
      <c r="E53" s="53"/>
      <c r="F53" s="53"/>
      <c r="G53" s="53"/>
      <c r="H53" s="53"/>
      <c r="I53" s="53"/>
      <c r="J53" s="53"/>
      <c r="K53" s="53"/>
      <c r="L53" s="53"/>
      <c r="M53" s="54"/>
      <c r="N53" s="54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4"/>
      <c r="AU53" s="54"/>
      <c r="AV53" s="54"/>
      <c r="AW53" s="54"/>
      <c r="AX53" s="53"/>
      <c r="AY53" s="53"/>
      <c r="AZ53" s="53"/>
      <c r="BA53" s="53"/>
      <c r="BB53" s="53"/>
      <c r="BC53" s="53"/>
      <c r="BD53" s="53"/>
      <c r="BE53" s="51"/>
    </row>
    <row r="54" spans="1:57" s="55" customFormat="1" ht="14.65" thickTop="1">
      <c r="A54" s="52"/>
      <c r="B54" s="52"/>
      <c r="C54" s="56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BE54" s="69"/>
    </row>
    <row r="55" spans="1:57" s="55" customFormat="1" ht="14.25">
      <c r="A55" s="52"/>
      <c r="B55" s="52"/>
      <c r="C55" s="56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BA55" s="58"/>
      <c r="BB55" s="57" t="s">
        <v>39</v>
      </c>
      <c r="BD55" s="52"/>
    </row>
  </sheetData>
  <mergeCells count="13">
    <mergeCell ref="BB9:BE9"/>
    <mergeCell ref="F9:I9"/>
    <mergeCell ref="J9:N9"/>
    <mergeCell ref="O9:R9"/>
    <mergeCell ref="D9:E9"/>
    <mergeCell ref="S9:V9"/>
    <mergeCell ref="AS9:AW9"/>
    <mergeCell ref="AX9:BA9"/>
    <mergeCell ref="W9:AA9"/>
    <mergeCell ref="AB9:AE9"/>
    <mergeCell ref="AF9:AI9"/>
    <mergeCell ref="AJ9:AN9"/>
    <mergeCell ref="AO9:AR9"/>
  </mergeCells>
  <conditionalFormatting sqref="P18:Q18">
    <cfRule type="cellIs" dxfId="22" priority="31" operator="equal">
      <formula>$AY$3</formula>
    </cfRule>
  </conditionalFormatting>
  <conditionalFormatting sqref="S19:T20 U20">
    <cfRule type="cellIs" dxfId="21" priority="43" operator="equal">
      <formula>$AY$3</formula>
    </cfRule>
  </conditionalFormatting>
  <conditionalFormatting sqref="T16">
    <cfRule type="cellIs" dxfId="20" priority="33" operator="equal">
      <formula>$AY$3</formula>
    </cfRule>
  </conditionalFormatting>
  <conditionalFormatting sqref="U22:V22">
    <cfRule type="cellIs" dxfId="19" priority="14" operator="equal">
      <formula>$AY$3</formula>
    </cfRule>
  </conditionalFormatting>
  <conditionalFormatting sqref="V21:W21 W23 V24:W24">
    <cfRule type="cellIs" dxfId="18" priority="34" operator="equal">
      <formula>$AY$3</formula>
    </cfRule>
  </conditionalFormatting>
  <conditionalFormatting sqref="Y26:Z26">
    <cfRule type="cellIs" dxfId="17" priority="42" operator="equal">
      <formula>$AY$3</formula>
    </cfRule>
  </conditionalFormatting>
  <conditionalFormatting sqref="AA28:AB28">
    <cfRule type="cellIs" dxfId="16" priority="41" operator="equal">
      <formula>$AY$3</formula>
    </cfRule>
  </conditionalFormatting>
  <conditionalFormatting sqref="AB30">
    <cfRule type="cellIs" dxfId="15" priority="51" operator="equal">
      <formula>$AY$3</formula>
    </cfRule>
  </conditionalFormatting>
  <conditionalFormatting sqref="AC29:AD29">
    <cfRule type="cellIs" dxfId="14" priority="40" operator="equal">
      <formula>$AY$3</formula>
    </cfRule>
  </conditionalFormatting>
  <conditionalFormatting sqref="AD31">
    <cfRule type="cellIs" dxfId="13" priority="38" operator="equal">
      <formula>$AY$3</formula>
    </cfRule>
  </conditionalFormatting>
  <conditionalFormatting sqref="AE30:AF30">
    <cfRule type="cellIs" dxfId="12" priority="39" operator="equal">
      <formula>$AY$3</formula>
    </cfRule>
  </conditionalFormatting>
  <conditionalFormatting sqref="AF32">
    <cfRule type="cellIs" dxfId="11" priority="30" operator="equal">
      <formula>$AY$3</formula>
    </cfRule>
  </conditionalFormatting>
  <conditionalFormatting sqref="AH36:AI36">
    <cfRule type="cellIs" dxfId="10" priority="19" operator="equal">
      <formula>$AY$3</formula>
    </cfRule>
  </conditionalFormatting>
  <conditionalFormatting sqref="AI37:AK37">
    <cfRule type="cellIs" dxfId="9" priority="13" operator="equal">
      <formula>$AY$3</formula>
    </cfRule>
  </conditionalFormatting>
  <conditionalFormatting sqref="AL38">
    <cfRule type="cellIs" dxfId="8" priority="11" operator="equal">
      <formula>$AY$3</formula>
    </cfRule>
  </conditionalFormatting>
  <conditionalFormatting sqref="AL39:AM39">
    <cfRule type="cellIs" dxfId="7" priority="10" operator="equal">
      <formula>$AY$3</formula>
    </cfRule>
  </conditionalFormatting>
  <conditionalFormatting sqref="AN39:AN40">
    <cfRule type="cellIs" dxfId="6" priority="1" operator="equal">
      <formula>$AY$3</formula>
    </cfRule>
  </conditionalFormatting>
  <conditionalFormatting sqref="AN40:AO40">
    <cfRule type="cellIs" dxfId="5" priority="7" operator="equal">
      <formula>$AY$3</formula>
    </cfRule>
  </conditionalFormatting>
  <conditionalFormatting sqref="AO42">
    <cfRule type="cellIs" dxfId="4" priority="6" operator="equal">
      <formula>$AY$3</formula>
    </cfRule>
  </conditionalFormatting>
  <conditionalFormatting sqref="AP44">
    <cfRule type="cellIs" dxfId="3" priority="4" operator="equal">
      <formula>$AY$3</formula>
    </cfRule>
  </conditionalFormatting>
  <conditionalFormatting sqref="AP43:AR43">
    <cfRule type="cellIs" dxfId="2" priority="5" operator="equal">
      <formula>$AY$3</formula>
    </cfRule>
  </conditionalFormatting>
  <conditionalFormatting sqref="AQ46:AR46">
    <cfRule type="cellIs" dxfId="1" priority="3" operator="equal">
      <formula>$AY$3</formula>
    </cfRule>
  </conditionalFormatting>
  <conditionalFormatting sqref="BE52">
    <cfRule type="cellIs" dxfId="0" priority="2" operator="equal">
      <formula>$AY$3</formula>
    </cfRule>
  </conditionalFormatting>
  <printOptions horizontalCentered="1"/>
  <pageMargins left="0.25" right="0.25" top="0.75" bottom="0.75" header="0.3" footer="0.3"/>
  <pageSetup paperSize="9" scale="4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DAAB-F6ED-4258-A420-D769FA459B5F}">
  <dimension ref="B2:F11"/>
  <sheetViews>
    <sheetView workbookViewId="0">
      <selection activeCell="C14" sqref="C14"/>
    </sheetView>
  </sheetViews>
  <sheetFormatPr defaultRowHeight="15.4"/>
  <cols>
    <col min="1" max="1" width="9" style="9"/>
    <col min="2" max="2" width="18" style="9" bestFit="1" customWidth="1"/>
    <col min="3" max="3" width="10.375" style="9" bestFit="1" customWidth="1"/>
    <col min="4" max="4" width="17.125" style="9" bestFit="1" customWidth="1"/>
    <col min="5" max="5" width="15.125" style="9" bestFit="1" customWidth="1"/>
    <col min="6" max="6" width="29.875" style="9" bestFit="1" customWidth="1"/>
    <col min="7" max="16384" width="9" style="9"/>
  </cols>
  <sheetData>
    <row r="2" spans="2:6" ht="16.149999999999999">
      <c r="B2" s="16" t="s">
        <v>53</v>
      </c>
      <c r="C2" s="16" t="s">
        <v>54</v>
      </c>
      <c r="D2" s="16" t="s">
        <v>55</v>
      </c>
      <c r="E2" s="16" t="s">
        <v>56</v>
      </c>
      <c r="F2" s="16" t="s">
        <v>57</v>
      </c>
    </row>
    <row r="3" spans="2:6">
      <c r="B3" s="12" t="s">
        <v>40</v>
      </c>
      <c r="C3" s="12" t="s">
        <v>12</v>
      </c>
      <c r="D3" s="12" t="s">
        <v>41</v>
      </c>
      <c r="E3" s="13" t="s">
        <v>69</v>
      </c>
      <c r="F3" s="14" t="s">
        <v>58</v>
      </c>
    </row>
    <row r="4" spans="2:6">
      <c r="B4" s="12" t="s">
        <v>42</v>
      </c>
      <c r="C4" s="12" t="s">
        <v>12</v>
      </c>
      <c r="D4" s="12" t="s">
        <v>43</v>
      </c>
      <c r="E4" s="13" t="s">
        <v>65</v>
      </c>
      <c r="F4" s="14" t="s">
        <v>62</v>
      </c>
    </row>
    <row r="5" spans="2:6">
      <c r="B5" s="12" t="s">
        <v>45</v>
      </c>
      <c r="C5" s="12" t="s">
        <v>12</v>
      </c>
      <c r="D5" s="12" t="s">
        <v>44</v>
      </c>
      <c r="E5" s="13" t="s">
        <v>67</v>
      </c>
      <c r="F5" s="14" t="s">
        <v>63</v>
      </c>
    </row>
    <row r="6" spans="2:6">
      <c r="B6" s="15"/>
      <c r="C6" s="15"/>
      <c r="D6" s="15"/>
      <c r="E6" s="15"/>
      <c r="F6" s="15"/>
    </row>
    <row r="7" spans="2:6" ht="16.149999999999999">
      <c r="B7" s="16" t="s">
        <v>53</v>
      </c>
      <c r="C7" s="16" t="s">
        <v>54</v>
      </c>
      <c r="D7" s="16" t="s">
        <v>55</v>
      </c>
      <c r="E7" s="16" t="s">
        <v>56</v>
      </c>
      <c r="F7" s="16" t="s">
        <v>57</v>
      </c>
    </row>
    <row r="8" spans="2:6">
      <c r="B8" s="12" t="s">
        <v>46</v>
      </c>
      <c r="C8" s="12" t="s">
        <v>49</v>
      </c>
      <c r="D8" s="12" t="s">
        <v>50</v>
      </c>
      <c r="E8" s="13" t="s">
        <v>68</v>
      </c>
      <c r="F8" s="14" t="s">
        <v>59</v>
      </c>
    </row>
    <row r="9" spans="2:6">
      <c r="B9" s="12" t="s">
        <v>47</v>
      </c>
      <c r="C9" s="12" t="s">
        <v>49</v>
      </c>
      <c r="D9" s="12" t="s">
        <v>51</v>
      </c>
      <c r="E9" s="13" t="s">
        <v>64</v>
      </c>
      <c r="F9" s="14" t="s">
        <v>60</v>
      </c>
    </row>
    <row r="10" spans="2:6">
      <c r="B10" s="12" t="s">
        <v>48</v>
      </c>
      <c r="C10" s="12" t="s">
        <v>49</v>
      </c>
      <c r="D10" s="12" t="s">
        <v>52</v>
      </c>
      <c r="E10" s="13" t="s">
        <v>66</v>
      </c>
      <c r="F10" s="14" t="s">
        <v>61</v>
      </c>
    </row>
    <row r="11" spans="2:6" ht="12" customHeight="1">
      <c r="B11" s="10"/>
      <c r="C11" s="11"/>
      <c r="D11" s="11"/>
      <c r="E11" s="11"/>
      <c r="F11" s="11"/>
    </row>
  </sheetData>
  <hyperlinks>
    <hyperlink ref="F3" r:id="rId1" xr:uid="{E164BC09-FA43-4EE6-95F8-22E16E0D752E}"/>
    <hyperlink ref="F8" r:id="rId2" xr:uid="{A07D6A19-7D18-4F0F-BFD7-C24ACC1B4631}"/>
    <hyperlink ref="F9" r:id="rId3" xr:uid="{E43D7EC6-ABF7-4ABD-A4FD-B669BC8D4714}"/>
    <hyperlink ref="F10" r:id="rId4" xr:uid="{72B89BA2-1DC3-4226-BADE-D66482324EF3}"/>
    <hyperlink ref="F4" r:id="rId5" xr:uid="{13A1174A-BBFF-4C8B-A894-6BDF62921062}"/>
    <hyperlink ref="F5" r:id="rId6" xr:uid="{31553CC5-9082-468C-B10D-CC54E4B18E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5C5D-4E2D-4136-A78C-FB20EB4CFDC2}">
  <dimension ref="A1:F12"/>
  <sheetViews>
    <sheetView workbookViewId="0">
      <selection activeCell="A8" sqref="A8:XFD12"/>
    </sheetView>
  </sheetViews>
  <sheetFormatPr defaultRowHeight="13.5"/>
  <cols>
    <col min="2" max="2" width="36.5625" customWidth="1"/>
    <col min="3" max="6" width="8.9375" customWidth="1"/>
  </cols>
  <sheetData>
    <row r="1" spans="1:6">
      <c r="A1">
        <v>12</v>
      </c>
      <c r="B1">
        <v>16384</v>
      </c>
    </row>
    <row r="2" spans="1:6" s="5" customFormat="1" ht="14.25"/>
    <row r="3" spans="1:6" s="5" customFormat="1" ht="14.25">
      <c r="E3" s="7"/>
      <c r="F3" s="6"/>
    </row>
    <row r="4" spans="1:6" s="5" customFormat="1" ht="14.25">
      <c r="E4" s="7"/>
      <c r="F4" s="6"/>
    </row>
    <row r="5" spans="1:6" s="5" customFormat="1" ht="14.25">
      <c r="E5" s="7"/>
      <c r="F5" s="6"/>
    </row>
    <row r="6" spans="1:6" s="5" customFormat="1" ht="14.25"/>
    <row r="8" spans="1:6" s="5" customFormat="1" ht="14.25"/>
    <row r="9" spans="1:6" s="5" customFormat="1" ht="14.25">
      <c r="E9" s="7"/>
      <c r="F9" s="8"/>
    </row>
    <row r="10" spans="1:6" s="5" customFormat="1" ht="14.25">
      <c r="E10" s="7"/>
      <c r="F10" s="8"/>
    </row>
    <row r="11" spans="1:6" s="5" customFormat="1" ht="14.25">
      <c r="E11" s="7"/>
      <c r="F11" s="8"/>
    </row>
    <row r="12" spans="1:6" s="5" customFormat="1" ht="14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5B1-F18E-4DDC-B96B-4E2ED5101AAD}">
  <dimension ref="A1:F12"/>
  <sheetViews>
    <sheetView workbookViewId="0">
      <selection activeCell="A8" sqref="A8:XFD12"/>
    </sheetView>
  </sheetViews>
  <sheetFormatPr defaultRowHeight="13.5"/>
  <cols>
    <col min="2" max="2" width="36.5625" customWidth="1"/>
    <col min="3" max="6" width="8.9375" customWidth="1"/>
  </cols>
  <sheetData>
    <row r="1" spans="1:6">
      <c r="A1">
        <v>12</v>
      </c>
      <c r="B1">
        <v>16384</v>
      </c>
    </row>
    <row r="2" spans="1:6" s="5" customFormat="1" ht="14.25"/>
    <row r="3" spans="1:6" s="5" customFormat="1" ht="14.25">
      <c r="E3" s="7"/>
      <c r="F3" s="6"/>
    </row>
    <row r="4" spans="1:6" s="5" customFormat="1" ht="14.25">
      <c r="E4" s="7"/>
      <c r="F4" s="6"/>
    </row>
    <row r="5" spans="1:6" s="5" customFormat="1" ht="14.25">
      <c r="E5" s="7"/>
      <c r="F5" s="6"/>
    </row>
    <row r="6" spans="1:6" s="5" customFormat="1" ht="14.25"/>
    <row r="8" spans="1:6" s="5" customFormat="1" ht="14.25"/>
    <row r="9" spans="1:6" s="5" customFormat="1" ht="14.25">
      <c r="E9" s="7"/>
      <c r="F9" s="8"/>
    </row>
    <row r="10" spans="1:6" s="5" customFormat="1" ht="14.25">
      <c r="E10" s="7"/>
      <c r="F10" s="8"/>
    </row>
    <row r="11" spans="1:6" s="5" customFormat="1" ht="14.25">
      <c r="E11" s="7"/>
      <c r="F11" s="8"/>
    </row>
    <row r="12" spans="1:6" s="5" customFormat="1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5839795100ff89216ddbdf6738273c0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868046fbd64ac9491aa90ddbad458355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2EFB7-8BFE-4E20-9AD3-653F6889D875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</ds:schemaRefs>
</ds:datastoreItem>
</file>

<file path=customXml/itemProps2.xml><?xml version="1.0" encoding="utf-8"?>
<ds:datastoreItem xmlns:ds="http://schemas.openxmlformats.org/officeDocument/2006/customXml" ds:itemID="{407AFB2F-9C65-4B0C-905A-9F0ADF1FA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Timeline</vt:lpstr>
      <vt:lpstr>Key People</vt:lpstr>
      <vt:lpstr>UPSLIDE_UndoFormatting</vt:lpstr>
      <vt:lpstr>UPSLIDE_Undo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2026-01-09T16:43:19Z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